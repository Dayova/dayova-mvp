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ernschritte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Marke" sheetId="5" state="visible" r:id="rId5"/>
  </sheets>
  <definedNames>
    <definedName name="_xlnm.Print_Area" localSheetId="0">'Start'!$B$2:$J$25</definedName>
    <definedName name="_xlnm.Print_Area" localSheetId="1">'Dashboard'!$B$2:$J$25</definedName>
    <definedName name="_xlnm._FilterDatabase" localSheetId="2" hidden="1">'Lernschritte'!$B$6:$J$106</definedName>
    <definedName name="_xlnm.Print_Titles" localSheetId="2">'Lernschritte'!$1:$6</definedName>
    <definedName name="_xlnm.Print_Area" localSheetId="2">'Lernschritte'!$B$2:$J$16</definedName>
    <definedName name="_xlnm._FilterDatabase" localSheetId="3" hidden="1">'Budget'!$B$6:$J$106</definedName>
    <definedName name="_xlnm.Print_Area" localSheetId="3">'Budget'!$B$2:$J$15</definedName>
    <definedName name="_xlnm.Print_Area" localSheetId="4">'Marke'!$B$2:$J$25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&quot; Min.&quot;"/>
    <numFmt numFmtId="166" formatCode="#,##0.00&quot; €&quot;;[Red]-#,##0.00&quot; €&quot;"/>
    <numFmt numFmtId="167" formatCode="#,##0.00&quot; €&quot;"/>
  </numFmts>
  <fonts count="12">
    <font>
      <name val="Calibri"/>
      <family val="2"/>
      <color theme="1"/>
      <sz val="11"/>
      <scheme val="minor"/>
    </font>
    <font>
      <name val="Poppins"/>
      <color rgb="001A1A1A"/>
      <sz val="11"/>
    </font>
    <font>
      <name val="Poppins"/>
      <b val="1"/>
      <color rgb="001A1A1A"/>
      <sz val="27"/>
    </font>
    <font>
      <name val="Poppins"/>
      <color rgb="005F6B7C"/>
      <sz val="10"/>
    </font>
    <font>
      <name val="Poppins"/>
      <b val="1"/>
      <color rgb="001A1A1A"/>
      <sz val="23"/>
    </font>
    <font>
      <name val="Poppins"/>
      <color rgb="001A1A1A"/>
      <sz val="17"/>
    </font>
    <font>
      <name val="Poppins"/>
      <color rgb="001A1A1A"/>
      <sz val="12"/>
    </font>
    <font>
      <name val="Poppins"/>
      <b val="1"/>
      <color rgb="00FFFFFF"/>
      <sz val="11"/>
    </font>
    <font>
      <name val="Poppins"/>
      <b val="1"/>
      <color rgb="001A1A1A"/>
      <sz val="30"/>
    </font>
    <font>
      <name val="Poppins"/>
      <color rgb="001A1A1A"/>
    </font>
    <font>
      <name val="Poppins"/>
      <color rgb="00FFFFFF"/>
    </font>
    <font>
      <name val="Poppins"/>
      <color rgb="001A1A1A"/>
      <sz val="13"/>
    </font>
  </fonts>
  <fills count="9">
    <fill>
      <patternFill/>
    </fill>
    <fill>
      <patternFill patternType="gray125"/>
    </fill>
    <fill>
      <patternFill patternType="solid">
        <fgColor rgb="00F6F6F4"/>
      </patternFill>
    </fill>
    <fill>
      <patternFill patternType="solid">
        <fgColor rgb="00F1F7FB"/>
      </patternFill>
    </fill>
    <fill>
      <patternFill patternType="solid">
        <fgColor rgb="00FFFFFF"/>
      </patternFill>
    </fill>
    <fill>
      <patternFill patternType="solid">
        <fgColor rgb="001A1A1A"/>
      </patternFill>
    </fill>
    <fill>
      <patternFill patternType="solid">
        <fgColor rgb="0000BAFF"/>
      </patternFill>
    </fill>
    <fill>
      <patternFill patternType="solid">
        <fgColor rgb="005F6B7C"/>
      </patternFill>
    </fill>
    <fill>
      <patternFill patternType="solid">
        <fgColor rgb="00585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1" fontId="8" fillId="4" borderId="0" applyAlignment="1" pivotButton="0" quotePrefix="0" xfId="0">
      <alignment horizontal="left" vertical="center" wrapText="1"/>
    </xf>
    <xf numFmtId="9" fontId="8" fillId="4" borderId="0" applyAlignment="1" pivotButton="0" quotePrefix="0" xfId="0">
      <alignment horizontal="left" vertical="center" wrapText="1"/>
    </xf>
    <xf numFmtId="165" fontId="8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vertical="center" wrapText="1"/>
    </xf>
    <xf numFmtId="167" fontId="4" fillId="4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5" fontId="1" fillId="3" borderId="0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166" fontId="1" fillId="3" borderId="0" applyAlignment="1" pivotButton="0" quotePrefix="0" xfId="0">
      <alignment vertical="center" wrapText="1"/>
    </xf>
    <xf numFmtId="166" fontId="1" fillId="2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1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AFFF1"/>
        </patternFill>
      </fill>
    </dxf>
    <dxf>
      <fill>
        <patternFill patternType="solid">
          <fgColor rgb="00FFEC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Lernschritte nach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00BAFF"/>
            </a:solidFill>
            <a:ln xmlns:a="http://schemas.openxmlformats.org/drawingml/2006/main">
              <a:solidFill>
                <a:srgbClr val="00BAFF"/>
              </a:solidFill>
              <a:prstDash val="solid"/>
            </a:ln>
          </spPr>
          <cat>
            <numRef>
              <f>'Dashboard'!$B$16:$B$18</f>
            </numRef>
          </cat>
          <val>
            <numRef>
              <f>'Dashboard'!$C$16:$C$18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14</row>
      <rowOff>0</rowOff>
    </from>
    <ext cx="6480000" cy="19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BAFF"/>
    <outlinePr summaryBelow="1" summaryRight="0"/>
    <pageSetUpPr fitToPage="1"/>
  </sheetPr>
  <dimension ref="A1:J110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1" t="n"/>
      <c r="B2" s="2" t="inlineStr">
        <is>
          <t>dayova.  /  Start</t>
        </is>
      </c>
    </row>
    <row r="3" ht="28" customHeight="1">
      <c r="A3" s="1" t="n"/>
    </row>
    <row r="4" ht="28" customHeight="1">
      <c r="A4" s="1" t="n"/>
      <c r="B4" s="3" t="inlineStr">
        <is>
          <t>VORLAGE · Fiktive Beispieldaten · Stand 06.09.2026</t>
        </is>
      </c>
    </row>
    <row r="5" ht="2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4" t="inlineStr">
        <is>
          <t>Einfach eintragen. Den Überblick behalten.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 ht="28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28" customHeight="1">
      <c r="A9" s="1" t="n"/>
      <c r="B9" s="6" t="inlineStr">
        <is>
          <t>01  Kopie erstellen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0" ht="28" customHeight="1">
      <c r="A10" s="1" t="n"/>
      <c r="B10" s="8" t="inlineStr">
        <is>
          <t>Datei → Kopie erstellen. Diese Vorlage als unverändertes Original behalten.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28" customHeight="1">
      <c r="A11" s="1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28" customHeight="1">
      <c r="A12" s="1" t="n"/>
      <c r="B12" s="6" t="inlineStr">
        <is>
          <t>02  Eingaben ersetzen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8" customHeight="1">
      <c r="A13" s="1" t="n"/>
      <c r="B13" s="8" t="inlineStr">
        <is>
          <t>Lernschritte und Budget: hellblaue Zellen bearbeiten. Zeilen 7–106 sind vorbereitet. Beispielzeilen ersetzen oder Eingaben löschen.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28" customHeight="1">
      <c r="A14" s="1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8" customHeight="1">
      <c r="A15" s="1" t="n"/>
      <c r="B15" s="6" t="inlineStr">
        <is>
          <t>03  Überblick nutzen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8" customHeight="1">
      <c r="A16" s="1" t="n"/>
      <c r="B16" s="8" t="inlineStr">
        <is>
          <t>Dashboard berechnet aus den Eingaben. Zeilen nur mit ID (Lernschritte) bzw. Position (Budget) zählen. Keine personenbezogenen Lernerdaten nötig.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28" customHeight="1">
      <c r="A17" s="1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1" t="n"/>
      <c r="B18" s="6" t="inlineStr">
        <is>
          <t>04  Vor dem Teilen prüfen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1" t="n"/>
      <c r="B19" s="8" t="inlineStr">
        <is>
          <t>Beispieldaten, Datumsbereich, Formeln und Diagramm prüfen. Zahlen in Präsentationen manuell aktualisieren. Kein automatischer App- oder Linear-Abgleich.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1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2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8" customHeight="1">
      <c r="A23" s="1" t="n"/>
      <c r="B23" s="9" t="inlineStr">
        <is>
          <t>Zeilen 7–106 = 100 Datensätze. Darüber hinaus müssen Formeln, Filter und Validierungen erweitert werden. 0 % bedeutet: keine erfassten abgeschlossenen Lernschritte. Nur Blau = Eingabe; Grau/Weiß = berechnet oder Anleitung. Status wird zusätzlich als Text angezeigt.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8" customHeight="1">
      <c r="A24" s="1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8" customHeight="1">
      <c r="A25" s="1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2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2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2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2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2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2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2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2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2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2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2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2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2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2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2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2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2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2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2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mergeCells count="12">
    <mergeCell ref="B15:J15"/>
    <mergeCell ref="B2:J3"/>
    <mergeCell ref="B16:J17"/>
    <mergeCell ref="B19:J20"/>
    <mergeCell ref="B10:J11"/>
    <mergeCell ref="B6:J7"/>
    <mergeCell ref="B23:J25"/>
    <mergeCell ref="B9:J9"/>
    <mergeCell ref="B18:J18"/>
    <mergeCell ref="B4:J4"/>
    <mergeCell ref="B12:J12"/>
    <mergeCell ref="B13:J14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00BAFF"/>
    <outlinePr summaryBelow="1" summaryRight="0"/>
    <pageSetUpPr fitToPage="1"/>
  </sheetPr>
  <dimension ref="A1:J110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1" t="n"/>
      <c r="B2" s="2" t="inlineStr">
        <is>
          <t>dayova.  /  Dashboard</t>
        </is>
      </c>
    </row>
    <row r="3" ht="28" customHeight="1">
      <c r="A3" s="1" t="n"/>
    </row>
    <row r="4" ht="28" customHeight="1">
      <c r="A4" s="1" t="n"/>
      <c r="B4" s="3" t="inlineStr">
        <is>
          <t>VORLAGE · Fiktive Beispieldaten · Stand 06.09.2026</t>
        </is>
      </c>
    </row>
    <row r="5" ht="2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4" t="inlineStr">
        <is>
          <t>Der nächste Schritt beginnt mit Überblick.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 ht="28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28" customHeight="1">
      <c r="A9" s="1" t="n"/>
      <c r="B9" s="8" t="inlineStr">
        <is>
          <t>Lernschritte</t>
        </is>
      </c>
      <c r="C9" s="7" t="n"/>
      <c r="D9" s="7" t="n"/>
      <c r="E9" s="8" t="inlineStr">
        <is>
          <t>Abgeschlossen</t>
        </is>
      </c>
      <c r="F9" s="7" t="n"/>
      <c r="G9" s="7" t="n"/>
      <c r="H9" s="8" t="inlineStr">
        <is>
          <t>Geplante Minuten</t>
        </is>
      </c>
      <c r="I9" s="7" t="n"/>
      <c r="J9" s="7" t="n"/>
    </row>
    <row r="10" ht="28" customHeight="1">
      <c r="A10" s="1" t="n"/>
      <c r="B10" s="10">
        <f>COUNTIF(Lernschritte!B7:B106,"&lt;&gt;")</f>
        <v/>
      </c>
      <c r="C10" s="7" t="n"/>
      <c r="D10" s="7" t="n"/>
      <c r="E10" s="11">
        <f>IFERROR(SUM(Lernschritte!I7:I106)/COUNTIF(Lernschritte!B7:B106,"&lt;&gt;"),0)</f>
        <v/>
      </c>
      <c r="F10" s="7" t="n"/>
      <c r="G10" s="7" t="n"/>
      <c r="H10" s="12">
        <f>SUMIF(Lernschritte!B7:B106,"&lt;&gt;",Lernschritte!G7:G106)</f>
        <v/>
      </c>
      <c r="I10" s="7" t="n"/>
      <c r="J10" s="7" t="n"/>
    </row>
    <row r="11" ht="28" customHeight="1">
      <c r="A11" s="1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28" customHeight="1">
      <c r="A12" s="1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2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38" customHeight="1">
      <c r="A15" s="1" t="n"/>
      <c r="B15" s="13" t="inlineStr">
        <is>
          <t>Status</t>
        </is>
      </c>
      <c r="C15" s="13" t="inlineStr">
        <is>
          <t>Anzahl</t>
        </is>
      </c>
      <c r="D15" s="1" t="n"/>
      <c r="E15" s="1" t="n"/>
      <c r="F15" s="1" t="n"/>
      <c r="G15" s="1" t="n"/>
      <c r="H15" s="1" t="n"/>
      <c r="I15" s="1" t="n"/>
      <c r="J15" s="1" t="n"/>
    </row>
    <row r="16" ht="28" customHeight="1">
      <c r="A16" s="1" t="n"/>
      <c r="B16" s="1" t="inlineStr">
        <is>
          <t>Geplant</t>
        </is>
      </c>
      <c r="C16" s="1">
        <f>COUNTIFS(Lernschritte!B7:B106,"&lt;&gt;",Lernschritte!H7:H106,B16)</f>
        <v/>
      </c>
      <c r="D16" s="1" t="n"/>
      <c r="E16" s="1" t="n"/>
      <c r="F16" s="1" t="n"/>
      <c r="G16" s="1" t="n"/>
      <c r="H16" s="1" t="n"/>
      <c r="I16" s="1" t="n"/>
      <c r="J16" s="1" t="n"/>
    </row>
    <row r="17" ht="28" customHeight="1">
      <c r="A17" s="1" t="n"/>
      <c r="B17" s="1" t="inlineStr">
        <is>
          <t>In Arbeit</t>
        </is>
      </c>
      <c r="C17" s="1">
        <f>COUNTIFS(Lernschritte!B7:B106,"&lt;&gt;",Lernschritte!H7:H106,B17)</f>
        <v/>
      </c>
      <c r="D17" s="1" t="n"/>
      <c r="E17" s="1" t="n"/>
      <c r="F17" s="1" t="n"/>
      <c r="G17" s="1" t="n"/>
      <c r="H17" s="1" t="n"/>
      <c r="I17" s="1" t="n"/>
      <c r="J17" s="1" t="n"/>
    </row>
    <row r="18" ht="28" customHeight="1">
      <c r="A18" s="1" t="n"/>
      <c r="B18" s="1" t="inlineStr">
        <is>
          <t>Erledigt</t>
        </is>
      </c>
      <c r="C18" s="1">
        <f>COUNTIFS(Lernschritte!B7:B106,"&lt;&gt;",Lernschritte!H7:H106,B18)</f>
        <v/>
      </c>
      <c r="D18" s="1" t="n"/>
      <c r="E18" s="1" t="n"/>
      <c r="F18" s="1" t="n"/>
      <c r="G18" s="1" t="n"/>
      <c r="H18" s="1" t="n"/>
      <c r="I18" s="1" t="n"/>
      <c r="J18" s="1" t="n"/>
    </row>
    <row r="19" ht="2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8" customHeight="1">
      <c r="A21" s="1" t="n"/>
      <c r="B21" s="8" t="inlineStr">
        <is>
          <t>Budget · Plan</t>
        </is>
      </c>
      <c r="C21" s="7" t="n"/>
      <c r="D21" s="7" t="n"/>
      <c r="E21" s="8" t="inlineStr">
        <is>
          <t>Budget · Ist</t>
        </is>
      </c>
      <c r="F21" s="7" t="n"/>
      <c r="G21" s="7" t="n"/>
      <c r="H21" s="8" t="inlineStr">
        <is>
          <t>Budget · Rest</t>
        </is>
      </c>
      <c r="I21" s="7" t="n"/>
      <c r="J21" s="7" t="n"/>
    </row>
    <row r="22" ht="28" customHeight="1">
      <c r="A22" s="1" t="n"/>
      <c r="B22" s="14">
        <f>SUM(Budget!F7:F106)</f>
        <v/>
      </c>
      <c r="C22" s="7" t="n"/>
      <c r="D22" s="7" t="n"/>
      <c r="E22" s="14">
        <f>SUMIF(Budget!B7:B106,"&lt;&gt;",Budget!G7:G106)</f>
        <v/>
      </c>
      <c r="F22" s="7" t="n"/>
      <c r="G22" s="7" t="n"/>
      <c r="H22" s="14">
        <f>B22-E22</f>
        <v/>
      </c>
      <c r="I22" s="7" t="n"/>
      <c r="J22" s="7" t="n"/>
    </row>
    <row r="23" ht="28" customHeight="1">
      <c r="A23" s="1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2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2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2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2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2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2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2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2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2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2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2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2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2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2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2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2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2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2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2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mergeCells count="15">
    <mergeCell ref="B2:J3"/>
    <mergeCell ref="E22:G23"/>
    <mergeCell ref="B6:J7"/>
    <mergeCell ref="B9:D9"/>
    <mergeCell ref="E9:G9"/>
    <mergeCell ref="B10:D12"/>
    <mergeCell ref="H9:J9"/>
    <mergeCell ref="B4:J4"/>
    <mergeCell ref="B21:D21"/>
    <mergeCell ref="B22:D23"/>
    <mergeCell ref="E10:G12"/>
    <mergeCell ref="H22:J23"/>
    <mergeCell ref="H10:J12"/>
    <mergeCell ref="H21:J21"/>
    <mergeCell ref="E21:G21"/>
  </mergeCells>
  <printOptions horizontalCentered="1"/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BAFF"/>
    <outlinePr summaryBelow="1" summaryRight="0"/>
    <pageSetUpPr fitToPage="1"/>
  </sheetPr>
  <dimension ref="A1:J110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6" customWidth="1" min="3" max="3"/>
    <col width="19" customWidth="1" min="4" max="4"/>
    <col width="34" customWidth="1" min="5" max="5"/>
    <col width="20" customWidth="1" min="6" max="6"/>
    <col width="14" customWidth="1" min="7" max="7"/>
    <col width="22" customWidth="1" min="8" max="8"/>
    <col width="16" customWidth="1" min="9" max="9"/>
    <col width="33" customWidth="1" min="10" max="10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1" t="n"/>
      <c r="B2" s="2" t="inlineStr">
        <is>
          <t>dayova.  /  Lernschritte</t>
        </is>
      </c>
    </row>
    <row r="3" ht="28" customHeight="1">
      <c r="A3" s="1" t="n"/>
    </row>
    <row r="4" ht="28" customHeight="1">
      <c r="A4" s="1" t="n"/>
      <c r="B4" s="3" t="inlineStr">
        <is>
          <t>VORLAGE · Fiktive Beispieldaten · Stand 06.09.2026</t>
        </is>
      </c>
    </row>
    <row r="5" ht="2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8" customHeight="1">
      <c r="A6" s="1" t="n"/>
      <c r="B6" s="13" t="inlineStr">
        <is>
          <t>ID</t>
        </is>
      </c>
      <c r="C6" s="13" t="inlineStr">
        <is>
          <t>Datum</t>
        </is>
      </c>
      <c r="D6" s="13" t="inlineStr">
        <is>
          <t>Fach</t>
        </is>
      </c>
      <c r="E6" s="13" t="inlineStr">
        <is>
          <t>Thema</t>
        </is>
      </c>
      <c r="F6" s="13" t="inlineStr">
        <is>
          <t>Typ</t>
        </is>
      </c>
      <c r="G6" s="13" t="inlineStr">
        <is>
          <t>Minuten</t>
        </is>
      </c>
      <c r="H6" s="13" t="inlineStr">
        <is>
          <t>Status</t>
        </is>
      </c>
      <c r="I6" s="13" t="inlineStr">
        <is>
          <t>Erledigt</t>
        </is>
      </c>
      <c r="J6" s="13" t="inlineStr">
        <is>
          <t>Notiz</t>
        </is>
      </c>
    </row>
    <row r="7" ht="28" customHeight="1">
      <c r="A7" s="1" t="n"/>
      <c r="B7" s="15" t="inlineStr">
        <is>
          <t>LS-001</t>
        </is>
      </c>
      <c r="C7" s="16" t="n">
        <v>46272</v>
      </c>
      <c r="D7" s="15" t="inlineStr">
        <is>
          <t>Mathematik</t>
        </is>
      </c>
      <c r="E7" s="15" t="inlineStr">
        <is>
          <t>Lineare Funktionen</t>
        </is>
      </c>
      <c r="F7" s="15" t="inlineStr">
        <is>
          <t>Theorie</t>
        </is>
      </c>
      <c r="G7" s="17" t="n">
        <v>30</v>
      </c>
      <c r="H7" s="15" t="inlineStr">
        <is>
          <t>Erledigt</t>
        </is>
      </c>
      <c r="I7" s="18">
        <f>IF(B7="","",IF(H7="Erledigt",1,0))</f>
        <v/>
      </c>
      <c r="J7" s="15" t="inlineStr">
        <is>
          <t>Fiktives Beispiel</t>
        </is>
      </c>
    </row>
    <row r="8" ht="28" customHeight="1">
      <c r="A8" s="1" t="n"/>
      <c r="B8" s="15" t="inlineStr">
        <is>
          <t>LS-002</t>
        </is>
      </c>
      <c r="C8" s="16" t="n">
        <v>46273</v>
      </c>
      <c r="D8" s="15" t="inlineStr">
        <is>
          <t>Biologie</t>
        </is>
      </c>
      <c r="E8" s="15" t="inlineStr">
        <is>
          <t>Zellaufbau</t>
        </is>
      </c>
      <c r="F8" s="15" t="inlineStr">
        <is>
          <t>Üben</t>
        </is>
      </c>
      <c r="G8" s="17" t="n">
        <v>25</v>
      </c>
      <c r="H8" s="15" t="inlineStr">
        <is>
          <t>Erledigt</t>
        </is>
      </c>
      <c r="I8" s="18">
        <f>IF(B8="","",IF(H8="Erledigt",1,0))</f>
        <v/>
      </c>
      <c r="J8" s="15" t="inlineStr">
        <is>
          <t>Fiktives Beispiel</t>
        </is>
      </c>
    </row>
    <row r="9" ht="28" customHeight="1">
      <c r="A9" s="1" t="n"/>
      <c r="B9" s="15" t="inlineStr">
        <is>
          <t>LS-003</t>
        </is>
      </c>
      <c r="C9" s="16" t="n">
        <v>46274</v>
      </c>
      <c r="D9" s="15" t="inlineStr">
        <is>
          <t>Englisch</t>
        </is>
      </c>
      <c r="E9" s="15" t="inlineStr">
        <is>
          <t>Textverständnis</t>
        </is>
      </c>
      <c r="F9" s="15" t="inlineStr">
        <is>
          <t>Praxis</t>
        </is>
      </c>
      <c r="G9" s="17" t="n">
        <v>20</v>
      </c>
      <c r="H9" s="15" t="inlineStr">
        <is>
          <t>Geplant</t>
        </is>
      </c>
      <c r="I9" s="18">
        <f>IF(B9="","",IF(H9="Erledigt",1,0))</f>
        <v/>
      </c>
      <c r="J9" s="15" t="inlineStr">
        <is>
          <t>Fiktives Beispiel</t>
        </is>
      </c>
    </row>
    <row r="10" ht="28" customHeight="1">
      <c r="A10" s="1" t="n"/>
      <c r="B10" s="15" t="inlineStr">
        <is>
          <t>LS-004</t>
        </is>
      </c>
      <c r="C10" s="16" t="n">
        <v>46275</v>
      </c>
      <c r="D10" s="15" t="inlineStr">
        <is>
          <t>Mathematik</t>
        </is>
      </c>
      <c r="E10" s="15" t="inlineStr">
        <is>
          <t>Gleichungen</t>
        </is>
      </c>
      <c r="F10" s="15" t="inlineStr">
        <is>
          <t>Üben</t>
        </is>
      </c>
      <c r="G10" s="17" t="n">
        <v>30</v>
      </c>
      <c r="H10" s="15" t="inlineStr">
        <is>
          <t>In Arbeit</t>
        </is>
      </c>
      <c r="I10" s="18">
        <f>IF(B10="","",IF(H10="Erledigt",1,0))</f>
        <v/>
      </c>
      <c r="J10" s="15" t="inlineStr">
        <is>
          <t>Fiktives Beispiel</t>
        </is>
      </c>
    </row>
    <row r="11" ht="28" customHeight="1">
      <c r="A11" s="1" t="n"/>
      <c r="B11" s="15" t="inlineStr">
        <is>
          <t>LS-005</t>
        </is>
      </c>
      <c r="C11" s="16" t="n">
        <v>46276</v>
      </c>
      <c r="D11" s="15" t="inlineStr">
        <is>
          <t>Deutsch</t>
        </is>
      </c>
      <c r="E11" s="15" t="inlineStr">
        <is>
          <t>Argumentieren</t>
        </is>
      </c>
      <c r="F11" s="15" t="inlineStr">
        <is>
          <t>Hausaufgabe</t>
        </is>
      </c>
      <c r="G11" s="17" t="n">
        <v>25</v>
      </c>
      <c r="H11" s="15" t="inlineStr">
        <is>
          <t>Geplant</t>
        </is>
      </c>
      <c r="I11" s="18">
        <f>IF(B11="","",IF(H11="Erledigt",1,0))</f>
        <v/>
      </c>
      <c r="J11" s="15" t="inlineStr">
        <is>
          <t>Fiktives Beispiel</t>
        </is>
      </c>
    </row>
    <row r="12" ht="28" customHeight="1">
      <c r="A12" s="1" t="n"/>
      <c r="B12" s="15" t="inlineStr">
        <is>
          <t>LS-006</t>
        </is>
      </c>
      <c r="C12" s="16" t="n">
        <v>46277</v>
      </c>
      <c r="D12" s="15" t="inlineStr">
        <is>
          <t>Biologie</t>
        </is>
      </c>
      <c r="E12" s="15" t="inlineStr">
        <is>
          <t>Genetik</t>
        </is>
      </c>
      <c r="F12" s="15" t="inlineStr">
        <is>
          <t>Theorie</t>
        </is>
      </c>
      <c r="G12" s="17" t="n">
        <v>30</v>
      </c>
      <c r="H12" s="15" t="inlineStr">
        <is>
          <t>Erledigt</t>
        </is>
      </c>
      <c r="I12" s="18">
        <f>IF(B12="","",IF(H12="Erledigt",1,0))</f>
        <v/>
      </c>
      <c r="J12" s="15" t="inlineStr">
        <is>
          <t>Fiktives Beispiel</t>
        </is>
      </c>
    </row>
    <row r="13" ht="28" customHeight="1">
      <c r="A13" s="1" t="n"/>
      <c r="B13" s="15" t="n"/>
      <c r="C13" s="16" t="n"/>
      <c r="D13" s="15" t="n"/>
      <c r="E13" s="15" t="n"/>
      <c r="F13" s="15" t="n"/>
      <c r="G13" s="17" t="n"/>
      <c r="H13" s="15" t="n"/>
      <c r="I13" s="18">
        <f>IF(B13="","",IF(H13="Erledigt",1,0))</f>
        <v/>
      </c>
      <c r="J13" s="15" t="n"/>
    </row>
    <row r="14" ht="28" customHeight="1">
      <c r="A14" s="1" t="n"/>
      <c r="B14" s="15" t="n"/>
      <c r="C14" s="16" t="n"/>
      <c r="D14" s="15" t="n"/>
      <c r="E14" s="15" t="n"/>
      <c r="F14" s="15" t="n"/>
      <c r="G14" s="17" t="n"/>
      <c r="H14" s="15" t="n"/>
      <c r="I14" s="18">
        <f>IF(B14="","",IF(H14="Erledigt",1,0))</f>
        <v/>
      </c>
      <c r="J14" s="15" t="n"/>
    </row>
    <row r="15" ht="28" customHeight="1">
      <c r="A15" s="1" t="n"/>
      <c r="B15" s="15" t="n"/>
      <c r="C15" s="16" t="n"/>
      <c r="D15" s="15" t="n"/>
      <c r="E15" s="15" t="n"/>
      <c r="F15" s="15" t="n"/>
      <c r="G15" s="17" t="n"/>
      <c r="H15" s="15" t="n"/>
      <c r="I15" s="18">
        <f>IF(B15="","",IF(H15="Erledigt",1,0))</f>
        <v/>
      </c>
      <c r="J15" s="15" t="n"/>
    </row>
    <row r="16" ht="28" customHeight="1">
      <c r="A16" s="1" t="n"/>
      <c r="B16" s="15" t="n"/>
      <c r="C16" s="16" t="n"/>
      <c r="D16" s="15" t="n"/>
      <c r="E16" s="15" t="n"/>
      <c r="F16" s="15" t="n"/>
      <c r="G16" s="17" t="n"/>
      <c r="H16" s="15" t="n"/>
      <c r="I16" s="18">
        <f>IF(B16="","",IF(H16="Erledigt",1,0))</f>
        <v/>
      </c>
      <c r="J16" s="15" t="n"/>
    </row>
    <row r="17" ht="28" customHeight="1">
      <c r="A17" s="1" t="n"/>
      <c r="B17" s="15" t="n"/>
      <c r="C17" s="16" t="n"/>
      <c r="D17" s="15" t="n"/>
      <c r="E17" s="15" t="n"/>
      <c r="F17" s="15" t="n"/>
      <c r="G17" s="17" t="n"/>
      <c r="H17" s="15" t="n"/>
      <c r="I17" s="18">
        <f>IF(B17="","",IF(H17="Erledigt",1,0))</f>
        <v/>
      </c>
      <c r="J17" s="15" t="n"/>
    </row>
    <row r="18" ht="28" customHeight="1">
      <c r="A18" s="1" t="n"/>
      <c r="B18" s="15" t="n"/>
      <c r="C18" s="16" t="n"/>
      <c r="D18" s="15" t="n"/>
      <c r="E18" s="15" t="n"/>
      <c r="F18" s="15" t="n"/>
      <c r="G18" s="17" t="n"/>
      <c r="H18" s="15" t="n"/>
      <c r="I18" s="18">
        <f>IF(B18="","",IF(H18="Erledigt",1,0))</f>
        <v/>
      </c>
      <c r="J18" s="15" t="n"/>
    </row>
    <row r="19" ht="28" customHeight="1">
      <c r="A19" s="1" t="n"/>
      <c r="B19" s="15" t="n"/>
      <c r="C19" s="16" t="n"/>
      <c r="D19" s="15" t="n"/>
      <c r="E19" s="15" t="n"/>
      <c r="F19" s="15" t="n"/>
      <c r="G19" s="17" t="n"/>
      <c r="H19" s="15" t="n"/>
      <c r="I19" s="18">
        <f>IF(B19="","",IF(H19="Erledigt",1,0))</f>
        <v/>
      </c>
      <c r="J19" s="15" t="n"/>
    </row>
    <row r="20" ht="28" customHeight="1">
      <c r="A20" s="1" t="n"/>
      <c r="B20" s="15" t="n"/>
      <c r="C20" s="16" t="n"/>
      <c r="D20" s="15" t="n"/>
      <c r="E20" s="15" t="n"/>
      <c r="F20" s="15" t="n"/>
      <c r="G20" s="17" t="n"/>
      <c r="H20" s="15" t="n"/>
      <c r="I20" s="18">
        <f>IF(B20="","",IF(H20="Erledigt",1,0))</f>
        <v/>
      </c>
      <c r="J20" s="15" t="n"/>
    </row>
    <row r="21" ht="28" customHeight="1">
      <c r="A21" s="1" t="n"/>
      <c r="B21" s="15" t="n"/>
      <c r="C21" s="16" t="n"/>
      <c r="D21" s="15" t="n"/>
      <c r="E21" s="15" t="n"/>
      <c r="F21" s="15" t="n"/>
      <c r="G21" s="17" t="n"/>
      <c r="H21" s="15" t="n"/>
      <c r="I21" s="18">
        <f>IF(B21="","",IF(H21="Erledigt",1,0))</f>
        <v/>
      </c>
      <c r="J21" s="15" t="n"/>
    </row>
    <row r="22" ht="28" customHeight="1">
      <c r="A22" s="1" t="n"/>
      <c r="B22" s="15" t="n"/>
      <c r="C22" s="16" t="n"/>
      <c r="D22" s="15" t="n"/>
      <c r="E22" s="15" t="n"/>
      <c r="F22" s="15" t="n"/>
      <c r="G22" s="17" t="n"/>
      <c r="H22" s="15" t="n"/>
      <c r="I22" s="18">
        <f>IF(B22="","",IF(H22="Erledigt",1,0))</f>
        <v/>
      </c>
      <c r="J22" s="15" t="n"/>
    </row>
    <row r="23" ht="28" customHeight="1">
      <c r="A23" s="1" t="n"/>
      <c r="B23" s="15" t="n"/>
      <c r="C23" s="16" t="n"/>
      <c r="D23" s="15" t="n"/>
      <c r="E23" s="15" t="n"/>
      <c r="F23" s="15" t="n"/>
      <c r="G23" s="17" t="n"/>
      <c r="H23" s="15" t="n"/>
      <c r="I23" s="18">
        <f>IF(B23="","",IF(H23="Erledigt",1,0))</f>
        <v/>
      </c>
      <c r="J23" s="15" t="n"/>
    </row>
    <row r="24" ht="28" customHeight="1">
      <c r="A24" s="1" t="n"/>
      <c r="B24" s="15" t="n"/>
      <c r="C24" s="16" t="n"/>
      <c r="D24" s="15" t="n"/>
      <c r="E24" s="15" t="n"/>
      <c r="F24" s="15" t="n"/>
      <c r="G24" s="17" t="n"/>
      <c r="H24" s="15" t="n"/>
      <c r="I24" s="18">
        <f>IF(B24="","",IF(H24="Erledigt",1,0))</f>
        <v/>
      </c>
      <c r="J24" s="15" t="n"/>
    </row>
    <row r="25" ht="28" customHeight="1">
      <c r="A25" s="1" t="n"/>
      <c r="B25" s="15" t="n"/>
      <c r="C25" s="16" t="n"/>
      <c r="D25" s="15" t="n"/>
      <c r="E25" s="15" t="n"/>
      <c r="F25" s="15" t="n"/>
      <c r="G25" s="17" t="n"/>
      <c r="H25" s="15" t="n"/>
      <c r="I25" s="18">
        <f>IF(B25="","",IF(H25="Erledigt",1,0))</f>
        <v/>
      </c>
      <c r="J25" s="15" t="n"/>
    </row>
    <row r="26" ht="28" customHeight="1">
      <c r="A26" s="1" t="n"/>
      <c r="B26" s="15" t="n"/>
      <c r="C26" s="16" t="n"/>
      <c r="D26" s="15" t="n"/>
      <c r="E26" s="15" t="n"/>
      <c r="F26" s="15" t="n"/>
      <c r="G26" s="17" t="n"/>
      <c r="H26" s="15" t="n"/>
      <c r="I26" s="18">
        <f>IF(B26="","",IF(H26="Erledigt",1,0))</f>
        <v/>
      </c>
      <c r="J26" s="15" t="n"/>
    </row>
    <row r="27" ht="28" customHeight="1">
      <c r="A27" s="1" t="n"/>
      <c r="B27" s="15" t="n"/>
      <c r="C27" s="16" t="n"/>
      <c r="D27" s="15" t="n"/>
      <c r="E27" s="15" t="n"/>
      <c r="F27" s="15" t="n"/>
      <c r="G27" s="17" t="n"/>
      <c r="H27" s="15" t="n"/>
      <c r="I27" s="18">
        <f>IF(B27="","",IF(H27="Erledigt",1,0))</f>
        <v/>
      </c>
      <c r="J27" s="15" t="n"/>
    </row>
    <row r="28" ht="28" customHeight="1">
      <c r="A28" s="1" t="n"/>
      <c r="B28" s="15" t="n"/>
      <c r="C28" s="16" t="n"/>
      <c r="D28" s="15" t="n"/>
      <c r="E28" s="15" t="n"/>
      <c r="F28" s="15" t="n"/>
      <c r="G28" s="17" t="n"/>
      <c r="H28" s="15" t="n"/>
      <c r="I28" s="18">
        <f>IF(B28="","",IF(H28="Erledigt",1,0))</f>
        <v/>
      </c>
      <c r="J28" s="15" t="n"/>
    </row>
    <row r="29" ht="28" customHeight="1">
      <c r="A29" s="1" t="n"/>
      <c r="B29" s="15" t="n"/>
      <c r="C29" s="16" t="n"/>
      <c r="D29" s="15" t="n"/>
      <c r="E29" s="15" t="n"/>
      <c r="F29" s="15" t="n"/>
      <c r="G29" s="17" t="n"/>
      <c r="H29" s="15" t="n"/>
      <c r="I29" s="18">
        <f>IF(B29="","",IF(H29="Erledigt",1,0))</f>
        <v/>
      </c>
      <c r="J29" s="15" t="n"/>
    </row>
    <row r="30" ht="28" customHeight="1">
      <c r="A30" s="1" t="n"/>
      <c r="B30" s="15" t="n"/>
      <c r="C30" s="16" t="n"/>
      <c r="D30" s="15" t="n"/>
      <c r="E30" s="15" t="n"/>
      <c r="F30" s="15" t="n"/>
      <c r="G30" s="17" t="n"/>
      <c r="H30" s="15" t="n"/>
      <c r="I30" s="18">
        <f>IF(B30="","",IF(H30="Erledigt",1,0))</f>
        <v/>
      </c>
      <c r="J30" s="15" t="n"/>
    </row>
    <row r="31" ht="28" customHeight="1">
      <c r="A31" s="1" t="n"/>
      <c r="B31" s="15" t="n"/>
      <c r="C31" s="16" t="n"/>
      <c r="D31" s="15" t="n"/>
      <c r="E31" s="15" t="n"/>
      <c r="F31" s="15" t="n"/>
      <c r="G31" s="17" t="n"/>
      <c r="H31" s="15" t="n"/>
      <c r="I31" s="18">
        <f>IF(B31="","",IF(H31="Erledigt",1,0))</f>
        <v/>
      </c>
      <c r="J31" s="15" t="n"/>
    </row>
    <row r="32" ht="28" customHeight="1">
      <c r="A32" s="1" t="n"/>
      <c r="B32" s="15" t="n"/>
      <c r="C32" s="16" t="n"/>
      <c r="D32" s="15" t="n"/>
      <c r="E32" s="15" t="n"/>
      <c r="F32" s="15" t="n"/>
      <c r="G32" s="17" t="n"/>
      <c r="H32" s="15" t="n"/>
      <c r="I32" s="18">
        <f>IF(B32="","",IF(H32="Erledigt",1,0))</f>
        <v/>
      </c>
      <c r="J32" s="15" t="n"/>
    </row>
    <row r="33" ht="28" customHeight="1">
      <c r="A33" s="1" t="n"/>
      <c r="B33" s="15" t="n"/>
      <c r="C33" s="16" t="n"/>
      <c r="D33" s="15" t="n"/>
      <c r="E33" s="15" t="n"/>
      <c r="F33" s="15" t="n"/>
      <c r="G33" s="17" t="n"/>
      <c r="H33" s="15" t="n"/>
      <c r="I33" s="18">
        <f>IF(B33="","",IF(H33="Erledigt",1,0))</f>
        <v/>
      </c>
      <c r="J33" s="15" t="n"/>
    </row>
    <row r="34" ht="28" customHeight="1">
      <c r="A34" s="1" t="n"/>
      <c r="B34" s="15" t="n"/>
      <c r="C34" s="16" t="n"/>
      <c r="D34" s="15" t="n"/>
      <c r="E34" s="15" t="n"/>
      <c r="F34" s="15" t="n"/>
      <c r="G34" s="17" t="n"/>
      <c r="H34" s="15" t="n"/>
      <c r="I34" s="18">
        <f>IF(B34="","",IF(H34="Erledigt",1,0))</f>
        <v/>
      </c>
      <c r="J34" s="15" t="n"/>
    </row>
    <row r="35" ht="28" customHeight="1">
      <c r="A35" s="1" t="n"/>
      <c r="B35" s="15" t="n"/>
      <c r="C35" s="16" t="n"/>
      <c r="D35" s="15" t="n"/>
      <c r="E35" s="15" t="n"/>
      <c r="F35" s="15" t="n"/>
      <c r="G35" s="17" t="n"/>
      <c r="H35" s="15" t="n"/>
      <c r="I35" s="18">
        <f>IF(B35="","",IF(H35="Erledigt",1,0))</f>
        <v/>
      </c>
      <c r="J35" s="15" t="n"/>
    </row>
    <row r="36" ht="28" customHeight="1">
      <c r="A36" s="1" t="n"/>
      <c r="B36" s="15" t="n"/>
      <c r="C36" s="16" t="n"/>
      <c r="D36" s="15" t="n"/>
      <c r="E36" s="15" t="n"/>
      <c r="F36" s="15" t="n"/>
      <c r="G36" s="17" t="n"/>
      <c r="H36" s="15" t="n"/>
      <c r="I36" s="18">
        <f>IF(B36="","",IF(H36="Erledigt",1,0))</f>
        <v/>
      </c>
      <c r="J36" s="15" t="n"/>
    </row>
    <row r="37" ht="28" customHeight="1">
      <c r="A37" s="1" t="n"/>
      <c r="B37" s="15" t="n"/>
      <c r="C37" s="16" t="n"/>
      <c r="D37" s="15" t="n"/>
      <c r="E37" s="15" t="n"/>
      <c r="F37" s="15" t="n"/>
      <c r="G37" s="17" t="n"/>
      <c r="H37" s="15" t="n"/>
      <c r="I37" s="18">
        <f>IF(B37="","",IF(H37="Erledigt",1,0))</f>
        <v/>
      </c>
      <c r="J37" s="15" t="n"/>
    </row>
    <row r="38" ht="28" customHeight="1">
      <c r="A38" s="1" t="n"/>
      <c r="B38" s="15" t="n"/>
      <c r="C38" s="16" t="n"/>
      <c r="D38" s="15" t="n"/>
      <c r="E38" s="15" t="n"/>
      <c r="F38" s="15" t="n"/>
      <c r="G38" s="17" t="n"/>
      <c r="H38" s="15" t="n"/>
      <c r="I38" s="18">
        <f>IF(B38="","",IF(H38="Erledigt",1,0))</f>
        <v/>
      </c>
      <c r="J38" s="15" t="n"/>
    </row>
    <row r="39" ht="28" customHeight="1">
      <c r="A39" s="1" t="n"/>
      <c r="B39" s="15" t="n"/>
      <c r="C39" s="16" t="n"/>
      <c r="D39" s="15" t="n"/>
      <c r="E39" s="15" t="n"/>
      <c r="F39" s="15" t="n"/>
      <c r="G39" s="17" t="n"/>
      <c r="H39" s="15" t="n"/>
      <c r="I39" s="18">
        <f>IF(B39="","",IF(H39="Erledigt",1,0))</f>
        <v/>
      </c>
      <c r="J39" s="15" t="n"/>
    </row>
    <row r="40" ht="28" customHeight="1">
      <c r="A40" s="1" t="n"/>
      <c r="B40" s="15" t="n"/>
      <c r="C40" s="16" t="n"/>
      <c r="D40" s="15" t="n"/>
      <c r="E40" s="15" t="n"/>
      <c r="F40" s="15" t="n"/>
      <c r="G40" s="17" t="n"/>
      <c r="H40" s="15" t="n"/>
      <c r="I40" s="18">
        <f>IF(B40="","",IF(H40="Erledigt",1,0))</f>
        <v/>
      </c>
      <c r="J40" s="15" t="n"/>
    </row>
    <row r="41" ht="28" customHeight="1">
      <c r="A41" s="1" t="n"/>
      <c r="B41" s="15" t="n"/>
      <c r="C41" s="16" t="n"/>
      <c r="D41" s="15" t="n"/>
      <c r="E41" s="15" t="n"/>
      <c r="F41" s="15" t="n"/>
      <c r="G41" s="17" t="n"/>
      <c r="H41" s="15" t="n"/>
      <c r="I41" s="18">
        <f>IF(B41="","",IF(H41="Erledigt",1,0))</f>
        <v/>
      </c>
      <c r="J41" s="15" t="n"/>
    </row>
    <row r="42" ht="28" customHeight="1">
      <c r="A42" s="1" t="n"/>
      <c r="B42" s="15" t="n"/>
      <c r="C42" s="16" t="n"/>
      <c r="D42" s="15" t="n"/>
      <c r="E42" s="15" t="n"/>
      <c r="F42" s="15" t="n"/>
      <c r="G42" s="17" t="n"/>
      <c r="H42" s="15" t="n"/>
      <c r="I42" s="18">
        <f>IF(B42="","",IF(H42="Erledigt",1,0))</f>
        <v/>
      </c>
      <c r="J42" s="15" t="n"/>
    </row>
    <row r="43" ht="28" customHeight="1">
      <c r="A43" s="1" t="n"/>
      <c r="B43" s="15" t="n"/>
      <c r="C43" s="16" t="n"/>
      <c r="D43" s="15" t="n"/>
      <c r="E43" s="15" t="n"/>
      <c r="F43" s="15" t="n"/>
      <c r="G43" s="17" t="n"/>
      <c r="H43" s="15" t="n"/>
      <c r="I43" s="18">
        <f>IF(B43="","",IF(H43="Erledigt",1,0))</f>
        <v/>
      </c>
      <c r="J43" s="15" t="n"/>
    </row>
    <row r="44" ht="28" customHeight="1">
      <c r="A44" s="1" t="n"/>
      <c r="B44" s="15" t="n"/>
      <c r="C44" s="16" t="n"/>
      <c r="D44" s="15" t="n"/>
      <c r="E44" s="15" t="n"/>
      <c r="F44" s="15" t="n"/>
      <c r="G44" s="17" t="n"/>
      <c r="H44" s="15" t="n"/>
      <c r="I44" s="18">
        <f>IF(B44="","",IF(H44="Erledigt",1,0))</f>
        <v/>
      </c>
      <c r="J44" s="15" t="n"/>
    </row>
    <row r="45" ht="28" customHeight="1">
      <c r="A45" s="1" t="n"/>
      <c r="B45" s="15" t="n"/>
      <c r="C45" s="16" t="n"/>
      <c r="D45" s="15" t="n"/>
      <c r="E45" s="15" t="n"/>
      <c r="F45" s="15" t="n"/>
      <c r="G45" s="17" t="n"/>
      <c r="H45" s="15" t="n"/>
      <c r="I45" s="18">
        <f>IF(B45="","",IF(H45="Erledigt",1,0))</f>
        <v/>
      </c>
      <c r="J45" s="15" t="n"/>
    </row>
    <row r="46" ht="28" customHeight="1">
      <c r="A46" s="1" t="n"/>
      <c r="B46" s="15" t="n"/>
      <c r="C46" s="16" t="n"/>
      <c r="D46" s="15" t="n"/>
      <c r="E46" s="15" t="n"/>
      <c r="F46" s="15" t="n"/>
      <c r="G46" s="17" t="n"/>
      <c r="H46" s="15" t="n"/>
      <c r="I46" s="18">
        <f>IF(B46="","",IF(H46="Erledigt",1,0))</f>
        <v/>
      </c>
      <c r="J46" s="15" t="n"/>
    </row>
    <row r="47" ht="28" customHeight="1">
      <c r="A47" s="1" t="n"/>
      <c r="B47" s="15" t="n"/>
      <c r="C47" s="16" t="n"/>
      <c r="D47" s="15" t="n"/>
      <c r="E47" s="15" t="n"/>
      <c r="F47" s="15" t="n"/>
      <c r="G47" s="17" t="n"/>
      <c r="H47" s="15" t="n"/>
      <c r="I47" s="18">
        <f>IF(B47="","",IF(H47="Erledigt",1,0))</f>
        <v/>
      </c>
      <c r="J47" s="15" t="n"/>
    </row>
    <row r="48" ht="28" customHeight="1">
      <c r="A48" s="1" t="n"/>
      <c r="B48" s="15" t="n"/>
      <c r="C48" s="16" t="n"/>
      <c r="D48" s="15" t="n"/>
      <c r="E48" s="15" t="n"/>
      <c r="F48" s="15" t="n"/>
      <c r="G48" s="17" t="n"/>
      <c r="H48" s="15" t="n"/>
      <c r="I48" s="18">
        <f>IF(B48="","",IF(H48="Erledigt",1,0))</f>
        <v/>
      </c>
      <c r="J48" s="15" t="n"/>
    </row>
    <row r="49" ht="28" customHeight="1">
      <c r="A49" s="1" t="n"/>
      <c r="B49" s="15" t="n"/>
      <c r="C49" s="16" t="n"/>
      <c r="D49" s="15" t="n"/>
      <c r="E49" s="15" t="n"/>
      <c r="F49" s="15" t="n"/>
      <c r="G49" s="17" t="n"/>
      <c r="H49" s="15" t="n"/>
      <c r="I49" s="18">
        <f>IF(B49="","",IF(H49="Erledigt",1,0))</f>
        <v/>
      </c>
      <c r="J49" s="15" t="n"/>
    </row>
    <row r="50" ht="28" customHeight="1">
      <c r="A50" s="1" t="n"/>
      <c r="B50" s="15" t="n"/>
      <c r="C50" s="16" t="n"/>
      <c r="D50" s="15" t="n"/>
      <c r="E50" s="15" t="n"/>
      <c r="F50" s="15" t="n"/>
      <c r="G50" s="17" t="n"/>
      <c r="H50" s="15" t="n"/>
      <c r="I50" s="18">
        <f>IF(B50="","",IF(H50="Erledigt",1,0))</f>
        <v/>
      </c>
      <c r="J50" s="15" t="n"/>
    </row>
    <row r="51" ht="28" customHeight="1">
      <c r="A51" s="1" t="n"/>
      <c r="B51" s="15" t="n"/>
      <c r="C51" s="16" t="n"/>
      <c r="D51" s="15" t="n"/>
      <c r="E51" s="15" t="n"/>
      <c r="F51" s="15" t="n"/>
      <c r="G51" s="17" t="n"/>
      <c r="H51" s="15" t="n"/>
      <c r="I51" s="18">
        <f>IF(B51="","",IF(H51="Erledigt",1,0))</f>
        <v/>
      </c>
      <c r="J51" s="15" t="n"/>
    </row>
    <row r="52" ht="28" customHeight="1">
      <c r="A52" s="1" t="n"/>
      <c r="B52" s="15" t="n"/>
      <c r="C52" s="16" t="n"/>
      <c r="D52" s="15" t="n"/>
      <c r="E52" s="15" t="n"/>
      <c r="F52" s="15" t="n"/>
      <c r="G52" s="17" t="n"/>
      <c r="H52" s="15" t="n"/>
      <c r="I52" s="18">
        <f>IF(B52="","",IF(H52="Erledigt",1,0))</f>
        <v/>
      </c>
      <c r="J52" s="15" t="n"/>
    </row>
    <row r="53" ht="28" customHeight="1">
      <c r="A53" s="1" t="n"/>
      <c r="B53" s="15" t="n"/>
      <c r="C53" s="16" t="n"/>
      <c r="D53" s="15" t="n"/>
      <c r="E53" s="15" t="n"/>
      <c r="F53" s="15" t="n"/>
      <c r="G53" s="17" t="n"/>
      <c r="H53" s="15" t="n"/>
      <c r="I53" s="18">
        <f>IF(B53="","",IF(H53="Erledigt",1,0))</f>
        <v/>
      </c>
      <c r="J53" s="15" t="n"/>
    </row>
    <row r="54" ht="28" customHeight="1">
      <c r="A54" s="1" t="n"/>
      <c r="B54" s="15" t="n"/>
      <c r="C54" s="16" t="n"/>
      <c r="D54" s="15" t="n"/>
      <c r="E54" s="15" t="n"/>
      <c r="F54" s="15" t="n"/>
      <c r="G54" s="17" t="n"/>
      <c r="H54" s="15" t="n"/>
      <c r="I54" s="18">
        <f>IF(B54="","",IF(H54="Erledigt",1,0))</f>
        <v/>
      </c>
      <c r="J54" s="15" t="n"/>
    </row>
    <row r="55" ht="28" customHeight="1">
      <c r="A55" s="1" t="n"/>
      <c r="B55" s="15" t="n"/>
      <c r="C55" s="16" t="n"/>
      <c r="D55" s="15" t="n"/>
      <c r="E55" s="15" t="n"/>
      <c r="F55" s="15" t="n"/>
      <c r="G55" s="17" t="n"/>
      <c r="H55" s="15" t="n"/>
      <c r="I55" s="18">
        <f>IF(B55="","",IF(H55="Erledigt",1,0))</f>
        <v/>
      </c>
      <c r="J55" s="15" t="n"/>
    </row>
    <row r="56" ht="28" customHeight="1">
      <c r="A56" s="1" t="n"/>
      <c r="B56" s="15" t="n"/>
      <c r="C56" s="16" t="n"/>
      <c r="D56" s="15" t="n"/>
      <c r="E56" s="15" t="n"/>
      <c r="F56" s="15" t="n"/>
      <c r="G56" s="17" t="n"/>
      <c r="H56" s="15" t="n"/>
      <c r="I56" s="18">
        <f>IF(B56="","",IF(H56="Erledigt",1,0))</f>
        <v/>
      </c>
      <c r="J56" s="15" t="n"/>
    </row>
    <row r="57" ht="28" customHeight="1">
      <c r="A57" s="1" t="n"/>
      <c r="B57" s="15" t="n"/>
      <c r="C57" s="16" t="n"/>
      <c r="D57" s="15" t="n"/>
      <c r="E57" s="15" t="n"/>
      <c r="F57" s="15" t="n"/>
      <c r="G57" s="17" t="n"/>
      <c r="H57" s="15" t="n"/>
      <c r="I57" s="18">
        <f>IF(B57="","",IF(H57="Erledigt",1,0))</f>
        <v/>
      </c>
      <c r="J57" s="15" t="n"/>
    </row>
    <row r="58" ht="28" customHeight="1">
      <c r="A58" s="1" t="n"/>
      <c r="B58" s="15" t="n"/>
      <c r="C58" s="16" t="n"/>
      <c r="D58" s="15" t="n"/>
      <c r="E58" s="15" t="n"/>
      <c r="F58" s="15" t="n"/>
      <c r="G58" s="17" t="n"/>
      <c r="H58" s="15" t="n"/>
      <c r="I58" s="18">
        <f>IF(B58="","",IF(H58="Erledigt",1,0))</f>
        <v/>
      </c>
      <c r="J58" s="15" t="n"/>
    </row>
    <row r="59" ht="28" customHeight="1">
      <c r="A59" s="1" t="n"/>
      <c r="B59" s="15" t="n"/>
      <c r="C59" s="16" t="n"/>
      <c r="D59" s="15" t="n"/>
      <c r="E59" s="15" t="n"/>
      <c r="F59" s="15" t="n"/>
      <c r="G59" s="17" t="n"/>
      <c r="H59" s="15" t="n"/>
      <c r="I59" s="18">
        <f>IF(B59="","",IF(H59="Erledigt",1,0))</f>
        <v/>
      </c>
      <c r="J59" s="15" t="n"/>
    </row>
    <row r="60" ht="28" customHeight="1">
      <c r="A60" s="1" t="n"/>
      <c r="B60" s="15" t="n"/>
      <c r="C60" s="16" t="n"/>
      <c r="D60" s="15" t="n"/>
      <c r="E60" s="15" t="n"/>
      <c r="F60" s="15" t="n"/>
      <c r="G60" s="17" t="n"/>
      <c r="H60" s="15" t="n"/>
      <c r="I60" s="18">
        <f>IF(B60="","",IF(H60="Erledigt",1,0))</f>
        <v/>
      </c>
      <c r="J60" s="15" t="n"/>
    </row>
    <row r="61" ht="28" customHeight="1">
      <c r="A61" s="1" t="n"/>
      <c r="B61" s="15" t="n"/>
      <c r="C61" s="16" t="n"/>
      <c r="D61" s="15" t="n"/>
      <c r="E61" s="15" t="n"/>
      <c r="F61" s="15" t="n"/>
      <c r="G61" s="17" t="n"/>
      <c r="H61" s="15" t="n"/>
      <c r="I61" s="18">
        <f>IF(B61="","",IF(H61="Erledigt",1,0))</f>
        <v/>
      </c>
      <c r="J61" s="15" t="n"/>
    </row>
    <row r="62" ht="28" customHeight="1">
      <c r="A62" s="1" t="n"/>
      <c r="B62" s="15" t="n"/>
      <c r="C62" s="16" t="n"/>
      <c r="D62" s="15" t="n"/>
      <c r="E62" s="15" t="n"/>
      <c r="F62" s="15" t="n"/>
      <c r="G62" s="17" t="n"/>
      <c r="H62" s="15" t="n"/>
      <c r="I62" s="18">
        <f>IF(B62="","",IF(H62="Erledigt",1,0))</f>
        <v/>
      </c>
      <c r="J62" s="15" t="n"/>
    </row>
    <row r="63" ht="28" customHeight="1">
      <c r="A63" s="1" t="n"/>
      <c r="B63" s="15" t="n"/>
      <c r="C63" s="16" t="n"/>
      <c r="D63" s="15" t="n"/>
      <c r="E63" s="15" t="n"/>
      <c r="F63" s="15" t="n"/>
      <c r="G63" s="17" t="n"/>
      <c r="H63" s="15" t="n"/>
      <c r="I63" s="18">
        <f>IF(B63="","",IF(H63="Erledigt",1,0))</f>
        <v/>
      </c>
      <c r="J63" s="15" t="n"/>
    </row>
    <row r="64" ht="28" customHeight="1">
      <c r="A64" s="1" t="n"/>
      <c r="B64" s="15" t="n"/>
      <c r="C64" s="16" t="n"/>
      <c r="D64" s="15" t="n"/>
      <c r="E64" s="15" t="n"/>
      <c r="F64" s="15" t="n"/>
      <c r="G64" s="17" t="n"/>
      <c r="H64" s="15" t="n"/>
      <c r="I64" s="18">
        <f>IF(B64="","",IF(H64="Erledigt",1,0))</f>
        <v/>
      </c>
      <c r="J64" s="15" t="n"/>
    </row>
    <row r="65" ht="28" customHeight="1">
      <c r="A65" s="1" t="n"/>
      <c r="B65" s="15" t="n"/>
      <c r="C65" s="16" t="n"/>
      <c r="D65" s="15" t="n"/>
      <c r="E65" s="15" t="n"/>
      <c r="F65" s="15" t="n"/>
      <c r="G65" s="17" t="n"/>
      <c r="H65" s="15" t="n"/>
      <c r="I65" s="18">
        <f>IF(B65="","",IF(H65="Erledigt",1,0))</f>
        <v/>
      </c>
      <c r="J65" s="15" t="n"/>
    </row>
    <row r="66" ht="28" customHeight="1">
      <c r="A66" s="1" t="n"/>
      <c r="B66" s="15" t="n"/>
      <c r="C66" s="16" t="n"/>
      <c r="D66" s="15" t="n"/>
      <c r="E66" s="15" t="n"/>
      <c r="F66" s="15" t="n"/>
      <c r="G66" s="17" t="n"/>
      <c r="H66" s="15" t="n"/>
      <c r="I66" s="18">
        <f>IF(B66="","",IF(H66="Erledigt",1,0))</f>
        <v/>
      </c>
      <c r="J66" s="15" t="n"/>
    </row>
    <row r="67" ht="28" customHeight="1">
      <c r="A67" s="1" t="n"/>
      <c r="B67" s="15" t="n"/>
      <c r="C67" s="16" t="n"/>
      <c r="D67" s="15" t="n"/>
      <c r="E67" s="15" t="n"/>
      <c r="F67" s="15" t="n"/>
      <c r="G67" s="17" t="n"/>
      <c r="H67" s="15" t="n"/>
      <c r="I67" s="18">
        <f>IF(B67="","",IF(H67="Erledigt",1,0))</f>
        <v/>
      </c>
      <c r="J67" s="15" t="n"/>
    </row>
    <row r="68" ht="28" customHeight="1">
      <c r="A68" s="1" t="n"/>
      <c r="B68" s="15" t="n"/>
      <c r="C68" s="16" t="n"/>
      <c r="D68" s="15" t="n"/>
      <c r="E68" s="15" t="n"/>
      <c r="F68" s="15" t="n"/>
      <c r="G68" s="17" t="n"/>
      <c r="H68" s="15" t="n"/>
      <c r="I68" s="18">
        <f>IF(B68="","",IF(H68="Erledigt",1,0))</f>
        <v/>
      </c>
      <c r="J68" s="15" t="n"/>
    </row>
    <row r="69" ht="28" customHeight="1">
      <c r="A69" s="1" t="n"/>
      <c r="B69" s="15" t="n"/>
      <c r="C69" s="16" t="n"/>
      <c r="D69" s="15" t="n"/>
      <c r="E69" s="15" t="n"/>
      <c r="F69" s="15" t="n"/>
      <c r="G69" s="17" t="n"/>
      <c r="H69" s="15" t="n"/>
      <c r="I69" s="18">
        <f>IF(B69="","",IF(H69="Erledigt",1,0))</f>
        <v/>
      </c>
      <c r="J69" s="15" t="n"/>
    </row>
    <row r="70" ht="28" customHeight="1">
      <c r="A70" s="1" t="n"/>
      <c r="B70" s="15" t="n"/>
      <c r="C70" s="16" t="n"/>
      <c r="D70" s="15" t="n"/>
      <c r="E70" s="15" t="n"/>
      <c r="F70" s="15" t="n"/>
      <c r="G70" s="17" t="n"/>
      <c r="H70" s="15" t="n"/>
      <c r="I70" s="18">
        <f>IF(B70="","",IF(H70="Erledigt",1,0))</f>
        <v/>
      </c>
      <c r="J70" s="15" t="n"/>
    </row>
    <row r="71" ht="28" customHeight="1">
      <c r="A71" s="1" t="n"/>
      <c r="B71" s="15" t="n"/>
      <c r="C71" s="16" t="n"/>
      <c r="D71" s="15" t="n"/>
      <c r="E71" s="15" t="n"/>
      <c r="F71" s="15" t="n"/>
      <c r="G71" s="17" t="n"/>
      <c r="H71" s="15" t="n"/>
      <c r="I71" s="18">
        <f>IF(B71="","",IF(H71="Erledigt",1,0))</f>
        <v/>
      </c>
      <c r="J71" s="15" t="n"/>
    </row>
    <row r="72" ht="28" customHeight="1">
      <c r="A72" s="1" t="n"/>
      <c r="B72" s="15" t="n"/>
      <c r="C72" s="16" t="n"/>
      <c r="D72" s="15" t="n"/>
      <c r="E72" s="15" t="n"/>
      <c r="F72" s="15" t="n"/>
      <c r="G72" s="17" t="n"/>
      <c r="H72" s="15" t="n"/>
      <c r="I72" s="18">
        <f>IF(B72="","",IF(H72="Erledigt",1,0))</f>
        <v/>
      </c>
      <c r="J72" s="15" t="n"/>
    </row>
    <row r="73" ht="28" customHeight="1">
      <c r="A73" s="1" t="n"/>
      <c r="B73" s="15" t="n"/>
      <c r="C73" s="16" t="n"/>
      <c r="D73" s="15" t="n"/>
      <c r="E73" s="15" t="n"/>
      <c r="F73" s="15" t="n"/>
      <c r="G73" s="17" t="n"/>
      <c r="H73" s="15" t="n"/>
      <c r="I73" s="18">
        <f>IF(B73="","",IF(H73="Erledigt",1,0))</f>
        <v/>
      </c>
      <c r="J73" s="15" t="n"/>
    </row>
    <row r="74" ht="28" customHeight="1">
      <c r="A74" s="1" t="n"/>
      <c r="B74" s="15" t="n"/>
      <c r="C74" s="16" t="n"/>
      <c r="D74" s="15" t="n"/>
      <c r="E74" s="15" t="n"/>
      <c r="F74" s="15" t="n"/>
      <c r="G74" s="17" t="n"/>
      <c r="H74" s="15" t="n"/>
      <c r="I74" s="18">
        <f>IF(B74="","",IF(H74="Erledigt",1,0))</f>
        <v/>
      </c>
      <c r="J74" s="15" t="n"/>
    </row>
    <row r="75" ht="28" customHeight="1">
      <c r="A75" s="1" t="n"/>
      <c r="B75" s="15" t="n"/>
      <c r="C75" s="16" t="n"/>
      <c r="D75" s="15" t="n"/>
      <c r="E75" s="15" t="n"/>
      <c r="F75" s="15" t="n"/>
      <c r="G75" s="17" t="n"/>
      <c r="H75" s="15" t="n"/>
      <c r="I75" s="18">
        <f>IF(B75="","",IF(H75="Erledigt",1,0))</f>
        <v/>
      </c>
      <c r="J75" s="15" t="n"/>
    </row>
    <row r="76" ht="28" customHeight="1">
      <c r="A76" s="1" t="n"/>
      <c r="B76" s="15" t="n"/>
      <c r="C76" s="16" t="n"/>
      <c r="D76" s="15" t="n"/>
      <c r="E76" s="15" t="n"/>
      <c r="F76" s="15" t="n"/>
      <c r="G76" s="17" t="n"/>
      <c r="H76" s="15" t="n"/>
      <c r="I76" s="18">
        <f>IF(B76="","",IF(H76="Erledigt",1,0))</f>
        <v/>
      </c>
      <c r="J76" s="15" t="n"/>
    </row>
    <row r="77" ht="28" customHeight="1">
      <c r="A77" s="1" t="n"/>
      <c r="B77" s="15" t="n"/>
      <c r="C77" s="16" t="n"/>
      <c r="D77" s="15" t="n"/>
      <c r="E77" s="15" t="n"/>
      <c r="F77" s="15" t="n"/>
      <c r="G77" s="17" t="n"/>
      <c r="H77" s="15" t="n"/>
      <c r="I77" s="18">
        <f>IF(B77="","",IF(H77="Erledigt",1,0))</f>
        <v/>
      </c>
      <c r="J77" s="15" t="n"/>
    </row>
    <row r="78" ht="28" customHeight="1">
      <c r="A78" s="1" t="n"/>
      <c r="B78" s="15" t="n"/>
      <c r="C78" s="16" t="n"/>
      <c r="D78" s="15" t="n"/>
      <c r="E78" s="15" t="n"/>
      <c r="F78" s="15" t="n"/>
      <c r="G78" s="17" t="n"/>
      <c r="H78" s="15" t="n"/>
      <c r="I78" s="18">
        <f>IF(B78="","",IF(H78="Erledigt",1,0))</f>
        <v/>
      </c>
      <c r="J78" s="15" t="n"/>
    </row>
    <row r="79" ht="28" customHeight="1">
      <c r="A79" s="1" t="n"/>
      <c r="B79" s="15" t="n"/>
      <c r="C79" s="16" t="n"/>
      <c r="D79" s="15" t="n"/>
      <c r="E79" s="15" t="n"/>
      <c r="F79" s="15" t="n"/>
      <c r="G79" s="17" t="n"/>
      <c r="H79" s="15" t="n"/>
      <c r="I79" s="18">
        <f>IF(B79="","",IF(H79="Erledigt",1,0))</f>
        <v/>
      </c>
      <c r="J79" s="15" t="n"/>
    </row>
    <row r="80" ht="28" customHeight="1">
      <c r="A80" s="1" t="n"/>
      <c r="B80" s="15" t="n"/>
      <c r="C80" s="16" t="n"/>
      <c r="D80" s="15" t="n"/>
      <c r="E80" s="15" t="n"/>
      <c r="F80" s="15" t="n"/>
      <c r="G80" s="17" t="n"/>
      <c r="H80" s="15" t="n"/>
      <c r="I80" s="18">
        <f>IF(B80="","",IF(H80="Erledigt",1,0))</f>
        <v/>
      </c>
      <c r="J80" s="15" t="n"/>
    </row>
    <row r="81" ht="28" customHeight="1">
      <c r="A81" s="1" t="n"/>
      <c r="B81" s="15" t="n"/>
      <c r="C81" s="16" t="n"/>
      <c r="D81" s="15" t="n"/>
      <c r="E81" s="15" t="n"/>
      <c r="F81" s="15" t="n"/>
      <c r="G81" s="17" t="n"/>
      <c r="H81" s="15" t="n"/>
      <c r="I81" s="18">
        <f>IF(B81="","",IF(H81="Erledigt",1,0))</f>
        <v/>
      </c>
      <c r="J81" s="15" t="n"/>
    </row>
    <row r="82" ht="28" customHeight="1">
      <c r="A82" s="1" t="n"/>
      <c r="B82" s="15" t="n"/>
      <c r="C82" s="16" t="n"/>
      <c r="D82" s="15" t="n"/>
      <c r="E82" s="15" t="n"/>
      <c r="F82" s="15" t="n"/>
      <c r="G82" s="17" t="n"/>
      <c r="H82" s="15" t="n"/>
      <c r="I82" s="18">
        <f>IF(B82="","",IF(H82="Erledigt",1,0))</f>
        <v/>
      </c>
      <c r="J82" s="15" t="n"/>
    </row>
    <row r="83" ht="28" customHeight="1">
      <c r="A83" s="1" t="n"/>
      <c r="B83" s="15" t="n"/>
      <c r="C83" s="16" t="n"/>
      <c r="D83" s="15" t="n"/>
      <c r="E83" s="15" t="n"/>
      <c r="F83" s="15" t="n"/>
      <c r="G83" s="17" t="n"/>
      <c r="H83" s="15" t="n"/>
      <c r="I83" s="18">
        <f>IF(B83="","",IF(H83="Erledigt",1,0))</f>
        <v/>
      </c>
      <c r="J83" s="15" t="n"/>
    </row>
    <row r="84" ht="28" customHeight="1">
      <c r="A84" s="1" t="n"/>
      <c r="B84" s="15" t="n"/>
      <c r="C84" s="16" t="n"/>
      <c r="D84" s="15" t="n"/>
      <c r="E84" s="15" t="n"/>
      <c r="F84" s="15" t="n"/>
      <c r="G84" s="17" t="n"/>
      <c r="H84" s="15" t="n"/>
      <c r="I84" s="18">
        <f>IF(B84="","",IF(H84="Erledigt",1,0))</f>
        <v/>
      </c>
      <c r="J84" s="15" t="n"/>
    </row>
    <row r="85" ht="28" customHeight="1">
      <c r="A85" s="1" t="n"/>
      <c r="B85" s="15" t="n"/>
      <c r="C85" s="16" t="n"/>
      <c r="D85" s="15" t="n"/>
      <c r="E85" s="15" t="n"/>
      <c r="F85" s="15" t="n"/>
      <c r="G85" s="17" t="n"/>
      <c r="H85" s="15" t="n"/>
      <c r="I85" s="18">
        <f>IF(B85="","",IF(H85="Erledigt",1,0))</f>
        <v/>
      </c>
      <c r="J85" s="15" t="n"/>
    </row>
    <row r="86" ht="28" customHeight="1">
      <c r="A86" s="1" t="n"/>
      <c r="B86" s="15" t="n"/>
      <c r="C86" s="16" t="n"/>
      <c r="D86" s="15" t="n"/>
      <c r="E86" s="15" t="n"/>
      <c r="F86" s="15" t="n"/>
      <c r="G86" s="17" t="n"/>
      <c r="H86" s="15" t="n"/>
      <c r="I86" s="18">
        <f>IF(B86="","",IF(H86="Erledigt",1,0))</f>
        <v/>
      </c>
      <c r="J86" s="15" t="n"/>
    </row>
    <row r="87" ht="28" customHeight="1">
      <c r="A87" s="1" t="n"/>
      <c r="B87" s="15" t="n"/>
      <c r="C87" s="16" t="n"/>
      <c r="D87" s="15" t="n"/>
      <c r="E87" s="15" t="n"/>
      <c r="F87" s="15" t="n"/>
      <c r="G87" s="17" t="n"/>
      <c r="H87" s="15" t="n"/>
      <c r="I87" s="18">
        <f>IF(B87="","",IF(H87="Erledigt",1,0))</f>
        <v/>
      </c>
      <c r="J87" s="15" t="n"/>
    </row>
    <row r="88" ht="28" customHeight="1">
      <c r="A88" s="1" t="n"/>
      <c r="B88" s="15" t="n"/>
      <c r="C88" s="16" t="n"/>
      <c r="D88" s="15" t="n"/>
      <c r="E88" s="15" t="n"/>
      <c r="F88" s="15" t="n"/>
      <c r="G88" s="17" t="n"/>
      <c r="H88" s="15" t="n"/>
      <c r="I88" s="18">
        <f>IF(B88="","",IF(H88="Erledigt",1,0))</f>
        <v/>
      </c>
      <c r="J88" s="15" t="n"/>
    </row>
    <row r="89" ht="28" customHeight="1">
      <c r="A89" s="1" t="n"/>
      <c r="B89" s="15" t="n"/>
      <c r="C89" s="16" t="n"/>
      <c r="D89" s="15" t="n"/>
      <c r="E89" s="15" t="n"/>
      <c r="F89" s="15" t="n"/>
      <c r="G89" s="17" t="n"/>
      <c r="H89" s="15" t="n"/>
      <c r="I89" s="18">
        <f>IF(B89="","",IF(H89="Erledigt",1,0))</f>
        <v/>
      </c>
      <c r="J89" s="15" t="n"/>
    </row>
    <row r="90" ht="28" customHeight="1">
      <c r="A90" s="1" t="n"/>
      <c r="B90" s="15" t="n"/>
      <c r="C90" s="16" t="n"/>
      <c r="D90" s="15" t="n"/>
      <c r="E90" s="15" t="n"/>
      <c r="F90" s="15" t="n"/>
      <c r="G90" s="17" t="n"/>
      <c r="H90" s="15" t="n"/>
      <c r="I90" s="18">
        <f>IF(B90="","",IF(H90="Erledigt",1,0))</f>
        <v/>
      </c>
      <c r="J90" s="15" t="n"/>
    </row>
    <row r="91" ht="28" customHeight="1">
      <c r="A91" s="1" t="n"/>
      <c r="B91" s="15" t="n"/>
      <c r="C91" s="16" t="n"/>
      <c r="D91" s="15" t="n"/>
      <c r="E91" s="15" t="n"/>
      <c r="F91" s="15" t="n"/>
      <c r="G91" s="17" t="n"/>
      <c r="H91" s="15" t="n"/>
      <c r="I91" s="18">
        <f>IF(B91="","",IF(H91="Erledigt",1,0))</f>
        <v/>
      </c>
      <c r="J91" s="15" t="n"/>
    </row>
    <row r="92" ht="28" customHeight="1">
      <c r="A92" s="1" t="n"/>
      <c r="B92" s="15" t="n"/>
      <c r="C92" s="16" t="n"/>
      <c r="D92" s="15" t="n"/>
      <c r="E92" s="15" t="n"/>
      <c r="F92" s="15" t="n"/>
      <c r="G92" s="17" t="n"/>
      <c r="H92" s="15" t="n"/>
      <c r="I92" s="18">
        <f>IF(B92="","",IF(H92="Erledigt",1,0))</f>
        <v/>
      </c>
      <c r="J92" s="15" t="n"/>
    </row>
    <row r="93" ht="28" customHeight="1">
      <c r="A93" s="1" t="n"/>
      <c r="B93" s="15" t="n"/>
      <c r="C93" s="16" t="n"/>
      <c r="D93" s="15" t="n"/>
      <c r="E93" s="15" t="n"/>
      <c r="F93" s="15" t="n"/>
      <c r="G93" s="17" t="n"/>
      <c r="H93" s="15" t="n"/>
      <c r="I93" s="18">
        <f>IF(B93="","",IF(H93="Erledigt",1,0))</f>
        <v/>
      </c>
      <c r="J93" s="15" t="n"/>
    </row>
    <row r="94" ht="28" customHeight="1">
      <c r="A94" s="1" t="n"/>
      <c r="B94" s="15" t="n"/>
      <c r="C94" s="16" t="n"/>
      <c r="D94" s="15" t="n"/>
      <c r="E94" s="15" t="n"/>
      <c r="F94" s="15" t="n"/>
      <c r="G94" s="17" t="n"/>
      <c r="H94" s="15" t="n"/>
      <c r="I94" s="18">
        <f>IF(B94="","",IF(H94="Erledigt",1,0))</f>
        <v/>
      </c>
      <c r="J94" s="15" t="n"/>
    </row>
    <row r="95" ht="28" customHeight="1">
      <c r="A95" s="1" t="n"/>
      <c r="B95" s="15" t="n"/>
      <c r="C95" s="16" t="n"/>
      <c r="D95" s="15" t="n"/>
      <c r="E95" s="15" t="n"/>
      <c r="F95" s="15" t="n"/>
      <c r="G95" s="17" t="n"/>
      <c r="H95" s="15" t="n"/>
      <c r="I95" s="18">
        <f>IF(B95="","",IF(H95="Erledigt",1,0))</f>
        <v/>
      </c>
      <c r="J95" s="15" t="n"/>
    </row>
    <row r="96" ht="28" customHeight="1">
      <c r="A96" s="1" t="n"/>
      <c r="B96" s="15" t="n"/>
      <c r="C96" s="16" t="n"/>
      <c r="D96" s="15" t="n"/>
      <c r="E96" s="15" t="n"/>
      <c r="F96" s="15" t="n"/>
      <c r="G96" s="17" t="n"/>
      <c r="H96" s="15" t="n"/>
      <c r="I96" s="18">
        <f>IF(B96="","",IF(H96="Erledigt",1,0))</f>
        <v/>
      </c>
      <c r="J96" s="15" t="n"/>
    </row>
    <row r="97" ht="28" customHeight="1">
      <c r="A97" s="1" t="n"/>
      <c r="B97" s="15" t="n"/>
      <c r="C97" s="16" t="n"/>
      <c r="D97" s="15" t="n"/>
      <c r="E97" s="15" t="n"/>
      <c r="F97" s="15" t="n"/>
      <c r="G97" s="17" t="n"/>
      <c r="H97" s="15" t="n"/>
      <c r="I97" s="18">
        <f>IF(B97="","",IF(H97="Erledigt",1,0))</f>
        <v/>
      </c>
      <c r="J97" s="15" t="n"/>
    </row>
    <row r="98" ht="28" customHeight="1">
      <c r="A98" s="1" t="n"/>
      <c r="B98" s="15" t="n"/>
      <c r="C98" s="16" t="n"/>
      <c r="D98" s="15" t="n"/>
      <c r="E98" s="15" t="n"/>
      <c r="F98" s="15" t="n"/>
      <c r="G98" s="17" t="n"/>
      <c r="H98" s="15" t="n"/>
      <c r="I98" s="18">
        <f>IF(B98="","",IF(H98="Erledigt",1,0))</f>
        <v/>
      </c>
      <c r="J98" s="15" t="n"/>
    </row>
    <row r="99" ht="28" customHeight="1">
      <c r="A99" s="1" t="n"/>
      <c r="B99" s="15" t="n"/>
      <c r="C99" s="16" t="n"/>
      <c r="D99" s="15" t="n"/>
      <c r="E99" s="15" t="n"/>
      <c r="F99" s="15" t="n"/>
      <c r="G99" s="17" t="n"/>
      <c r="H99" s="15" t="n"/>
      <c r="I99" s="18">
        <f>IF(B99="","",IF(H99="Erledigt",1,0))</f>
        <v/>
      </c>
      <c r="J99" s="15" t="n"/>
    </row>
    <row r="100" ht="28" customHeight="1">
      <c r="A100" s="1" t="n"/>
      <c r="B100" s="15" t="n"/>
      <c r="C100" s="16" t="n"/>
      <c r="D100" s="15" t="n"/>
      <c r="E100" s="15" t="n"/>
      <c r="F100" s="15" t="n"/>
      <c r="G100" s="17" t="n"/>
      <c r="H100" s="15" t="n"/>
      <c r="I100" s="18">
        <f>IF(B100="","",IF(H100="Erledigt",1,0))</f>
        <v/>
      </c>
      <c r="J100" s="15" t="n"/>
    </row>
    <row r="101" ht="28" customHeight="1">
      <c r="A101" s="1" t="n"/>
      <c r="B101" s="15" t="n"/>
      <c r="C101" s="16" t="n"/>
      <c r="D101" s="15" t="n"/>
      <c r="E101" s="15" t="n"/>
      <c r="F101" s="15" t="n"/>
      <c r="G101" s="17" t="n"/>
      <c r="H101" s="15" t="n"/>
      <c r="I101" s="18">
        <f>IF(B101="","",IF(H101="Erledigt",1,0))</f>
        <v/>
      </c>
      <c r="J101" s="15" t="n"/>
    </row>
    <row r="102" ht="28" customHeight="1">
      <c r="A102" s="1" t="n"/>
      <c r="B102" s="15" t="n"/>
      <c r="C102" s="16" t="n"/>
      <c r="D102" s="15" t="n"/>
      <c r="E102" s="15" t="n"/>
      <c r="F102" s="15" t="n"/>
      <c r="G102" s="17" t="n"/>
      <c r="H102" s="15" t="n"/>
      <c r="I102" s="18">
        <f>IF(B102="","",IF(H102="Erledigt",1,0))</f>
        <v/>
      </c>
      <c r="J102" s="15" t="n"/>
    </row>
    <row r="103" ht="28" customHeight="1">
      <c r="A103" s="1" t="n"/>
      <c r="B103" s="15" t="n"/>
      <c r="C103" s="16" t="n"/>
      <c r="D103" s="15" t="n"/>
      <c r="E103" s="15" t="n"/>
      <c r="F103" s="15" t="n"/>
      <c r="G103" s="17" t="n"/>
      <c r="H103" s="15" t="n"/>
      <c r="I103" s="18">
        <f>IF(B103="","",IF(H103="Erledigt",1,0))</f>
        <v/>
      </c>
      <c r="J103" s="15" t="n"/>
    </row>
    <row r="104" ht="28" customHeight="1">
      <c r="A104" s="1" t="n"/>
      <c r="B104" s="15" t="n"/>
      <c r="C104" s="16" t="n"/>
      <c r="D104" s="15" t="n"/>
      <c r="E104" s="15" t="n"/>
      <c r="F104" s="15" t="n"/>
      <c r="G104" s="17" t="n"/>
      <c r="H104" s="15" t="n"/>
      <c r="I104" s="18">
        <f>IF(B104="","",IF(H104="Erledigt",1,0))</f>
        <v/>
      </c>
      <c r="J104" s="15" t="n"/>
    </row>
    <row r="105" ht="28" customHeight="1">
      <c r="A105" s="1" t="n"/>
      <c r="B105" s="15" t="n"/>
      <c r="C105" s="16" t="n"/>
      <c r="D105" s="15" t="n"/>
      <c r="E105" s="15" t="n"/>
      <c r="F105" s="15" t="n"/>
      <c r="G105" s="17" t="n"/>
      <c r="H105" s="15" t="n"/>
      <c r="I105" s="18">
        <f>IF(B105="","",IF(H105="Erledigt",1,0))</f>
        <v/>
      </c>
      <c r="J105" s="15" t="n"/>
    </row>
    <row r="106" ht="28" customHeight="1">
      <c r="A106" s="1" t="n"/>
      <c r="B106" s="15" t="n"/>
      <c r="C106" s="16" t="n"/>
      <c r="D106" s="15" t="n"/>
      <c r="E106" s="15" t="n"/>
      <c r="F106" s="15" t="n"/>
      <c r="G106" s="17" t="n"/>
      <c r="H106" s="15" t="n"/>
      <c r="I106" s="18">
        <f>IF(B106="","",IF(H106="Erledigt",1,0))</f>
        <v/>
      </c>
      <c r="J106" s="15" t="n"/>
    </row>
    <row r="107" ht="2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2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2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2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autoFilter ref="B6:J106"/>
  <mergeCells count="2">
    <mergeCell ref="B2:J3"/>
    <mergeCell ref="B4:J4"/>
  </mergeCells>
  <conditionalFormatting sqref="H7:H106">
    <cfRule type="expression" priority="1" dxfId="0">
      <formula>H7="Erledigt"</formula>
    </cfRule>
    <cfRule type="expression" priority="2" dxfId="1">
      <formula>H7="In Arbeit"</formula>
    </cfRule>
  </conditionalFormatting>
  <dataValidations count="3">
    <dataValidation sqref="F7:F106" showDropDown="0" showInputMessage="0" showErrorMessage="1" allowBlank="1" errorTitle="Bitte einen Listenwert wählen" error="Wähle einen Wert aus der Liste." type="list">
      <formula1>"Theorie,Üben,Praxis,Hausaufgabe"</formula1>
    </dataValidation>
    <dataValidation sqref="H7:H106" showDropDown="0" showInputMessage="0" showErrorMessage="1" allowBlank="1" errorTitle="Bitte einen Listenwert wählen" error="Wähle einen Wert aus der Liste." type="list">
      <formula1>"Geplant,In Arbeit,Erledigt"</formula1>
    </dataValidation>
    <dataValidation sqref="G7:G106" showDropDown="0" showInputMessage="0" showErrorMessage="1" allowBlank="1" error="Minuten: ganze Zahl von 0 bis 1440." type="whole" operator="between">
      <formula1>0</formula1>
      <formula2>1440</formula2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00BAFF"/>
    <outlinePr summaryBelow="1" summaryRight="0"/>
    <pageSetUpPr fitToPage="1"/>
  </sheetPr>
  <dimension ref="A1:J110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9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1" t="n"/>
      <c r="B2" s="2" t="inlineStr">
        <is>
          <t>dayova.  /  Budget</t>
        </is>
      </c>
    </row>
    <row r="3" ht="28" customHeight="1">
      <c r="A3" s="1" t="n"/>
    </row>
    <row r="4" ht="28" customHeight="1">
      <c r="A4" s="1" t="n"/>
      <c r="B4" s="3" t="inlineStr">
        <is>
          <t>VORLAGE · Fiktive Beispieldaten · Stand 06.09.2026</t>
        </is>
      </c>
    </row>
    <row r="5" ht="2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8" customHeight="1">
      <c r="A6" s="1" t="n"/>
      <c r="B6" s="13" t="inlineStr">
        <is>
          <t>Position</t>
        </is>
      </c>
      <c r="C6" s="13" t="inlineStr">
        <is>
          <t>Kategorie</t>
        </is>
      </c>
      <c r="D6" s="13" t="inlineStr">
        <is>
          <t>Menge</t>
        </is>
      </c>
      <c r="E6" s="13" t="inlineStr">
        <is>
          <t>Einzelpreis</t>
        </is>
      </c>
      <c r="F6" s="13" t="inlineStr">
        <is>
          <t>Plan</t>
        </is>
      </c>
      <c r="G6" s="13" t="inlineStr">
        <is>
          <t>Ist</t>
        </is>
      </c>
      <c r="H6" s="13" t="inlineStr">
        <is>
          <t>Rest</t>
        </is>
      </c>
      <c r="I6" s="13" t="inlineStr">
        <is>
          <t>Status</t>
        </is>
      </c>
      <c r="J6" s="13" t="inlineStr">
        <is>
          <t>Notiz</t>
        </is>
      </c>
    </row>
    <row r="7" ht="28" customHeight="1">
      <c r="A7" s="1" t="n"/>
      <c r="B7" s="15" t="inlineStr">
        <is>
          <t>Material</t>
        </is>
      </c>
      <c r="C7" s="15" t="inlineStr">
        <is>
          <t>Durchführung</t>
        </is>
      </c>
      <c r="D7" s="15" t="n">
        <v>10</v>
      </c>
      <c r="E7" s="19" t="n">
        <v>8</v>
      </c>
      <c r="F7" s="20">
        <f>IF(B7="","",IFERROR(D7*E7,0))</f>
        <v/>
      </c>
      <c r="G7" s="19" t="n">
        <v>65</v>
      </c>
      <c r="H7" s="20">
        <f>IF(B7="","",F7-G7)</f>
        <v/>
      </c>
      <c r="I7" s="1">
        <f>IF(B7="","",IF(H7&lt;0,"Über Plan","Im Plan"))</f>
        <v/>
      </c>
      <c r="J7" s="15" t="inlineStr">
        <is>
          <t>Fiktive Werte · keine Dayova Preise</t>
        </is>
      </c>
    </row>
    <row r="8" ht="28" customHeight="1">
      <c r="A8" s="1" t="n"/>
      <c r="B8" s="15" t="inlineStr">
        <is>
          <t>Vorbereitung</t>
        </is>
      </c>
      <c r="C8" s="15" t="inlineStr">
        <is>
          <t>Organisation</t>
        </is>
      </c>
      <c r="D8" s="15" t="n">
        <v>2</v>
      </c>
      <c r="E8" s="19" t="n">
        <v>40</v>
      </c>
      <c r="F8" s="20">
        <f>IF(B8="","",IFERROR(D8*E8,0))</f>
        <v/>
      </c>
      <c r="G8" s="19" t="n">
        <v>80</v>
      </c>
      <c r="H8" s="20">
        <f>IF(B8="","",F8-G8)</f>
        <v/>
      </c>
      <c r="I8" s="1">
        <f>IF(B8="","",IF(H8&lt;0,"Über Plan","Im Plan"))</f>
        <v/>
      </c>
      <c r="J8" s="15" t="inlineStr">
        <is>
          <t>Fiktive Werte · keine Dayova Preise</t>
        </is>
      </c>
    </row>
    <row r="9" ht="28" customHeight="1">
      <c r="A9" s="1" t="n"/>
      <c r="B9" s="15" t="inlineStr">
        <is>
          <t>Rückmeldung</t>
        </is>
      </c>
      <c r="C9" s="15" t="inlineStr">
        <is>
          <t>Auswertung</t>
        </is>
      </c>
      <c r="D9" s="15" t="n">
        <v>1</v>
      </c>
      <c r="E9" s="19" t="n">
        <v>50</v>
      </c>
      <c r="F9" s="20">
        <f>IF(B9="","",IFERROR(D9*E9,0))</f>
        <v/>
      </c>
      <c r="G9" s="19" t="n">
        <v>60</v>
      </c>
      <c r="H9" s="20">
        <f>IF(B9="","",F9-G9)</f>
        <v/>
      </c>
      <c r="I9" s="1">
        <f>IF(B9="","",IF(H9&lt;0,"Über Plan","Im Plan"))</f>
        <v/>
      </c>
      <c r="J9" s="15" t="inlineStr">
        <is>
          <t>Fiktive Werte · keine Dayova Preise</t>
        </is>
      </c>
    </row>
    <row r="10" ht="28" customHeight="1">
      <c r="A10" s="1" t="n"/>
      <c r="B10" s="15" t="n"/>
      <c r="C10" s="15" t="n"/>
      <c r="D10" s="15" t="n"/>
      <c r="E10" s="19" t="n"/>
      <c r="F10" s="20">
        <f>IF(B10="","",IFERROR(D10*E10,0))</f>
        <v/>
      </c>
      <c r="G10" s="19" t="n"/>
      <c r="H10" s="20">
        <f>IF(B10="","",F10-G10)</f>
        <v/>
      </c>
      <c r="I10" s="1">
        <f>IF(B10="","",IF(H10&lt;0,"Über Plan","Im Plan"))</f>
        <v/>
      </c>
      <c r="J10" s="15" t="n"/>
    </row>
    <row r="11" ht="28" customHeight="1">
      <c r="A11" s="1" t="n"/>
      <c r="B11" s="15" t="n"/>
      <c r="C11" s="15" t="n"/>
      <c r="D11" s="15" t="n"/>
      <c r="E11" s="19" t="n"/>
      <c r="F11" s="20">
        <f>IF(B11="","",IFERROR(D11*E11,0))</f>
        <v/>
      </c>
      <c r="G11" s="19" t="n"/>
      <c r="H11" s="20">
        <f>IF(B11="","",F11-G11)</f>
        <v/>
      </c>
      <c r="I11" s="1">
        <f>IF(B11="","",IF(H11&lt;0,"Über Plan","Im Plan"))</f>
        <v/>
      </c>
      <c r="J11" s="15" t="n"/>
    </row>
    <row r="12" ht="28" customHeight="1">
      <c r="A12" s="1" t="n"/>
      <c r="B12" s="15" t="n"/>
      <c r="C12" s="15" t="n"/>
      <c r="D12" s="15" t="n"/>
      <c r="E12" s="19" t="n"/>
      <c r="F12" s="20">
        <f>IF(B12="","",IFERROR(D12*E12,0))</f>
        <v/>
      </c>
      <c r="G12" s="19" t="n"/>
      <c r="H12" s="20">
        <f>IF(B12="","",F12-G12)</f>
        <v/>
      </c>
      <c r="I12" s="1">
        <f>IF(B12="","",IF(H12&lt;0,"Über Plan","Im Plan"))</f>
        <v/>
      </c>
      <c r="J12" s="15" t="n"/>
    </row>
    <row r="13" ht="28" customHeight="1">
      <c r="A13" s="1" t="n"/>
      <c r="B13" s="15" t="n"/>
      <c r="C13" s="15" t="n"/>
      <c r="D13" s="15" t="n"/>
      <c r="E13" s="19" t="n"/>
      <c r="F13" s="20">
        <f>IF(B13="","",IFERROR(D13*E13,0))</f>
        <v/>
      </c>
      <c r="G13" s="19" t="n"/>
      <c r="H13" s="20">
        <f>IF(B13="","",F13-G13)</f>
        <v/>
      </c>
      <c r="I13" s="1">
        <f>IF(B13="","",IF(H13&lt;0,"Über Plan","Im Plan"))</f>
        <v/>
      </c>
      <c r="J13" s="15" t="n"/>
    </row>
    <row r="14" ht="28" customHeight="1">
      <c r="A14" s="1" t="n"/>
      <c r="B14" s="15" t="n"/>
      <c r="C14" s="15" t="n"/>
      <c r="D14" s="15" t="n"/>
      <c r="E14" s="19" t="n"/>
      <c r="F14" s="20">
        <f>IF(B14="","",IFERROR(D14*E14,0))</f>
        <v/>
      </c>
      <c r="G14" s="19" t="n"/>
      <c r="H14" s="20">
        <f>IF(B14="","",F14-G14)</f>
        <v/>
      </c>
      <c r="I14" s="1">
        <f>IF(B14="","",IF(H14&lt;0,"Über Plan","Im Plan"))</f>
        <v/>
      </c>
      <c r="J14" s="15" t="n"/>
    </row>
    <row r="15" ht="28" customHeight="1">
      <c r="A15" s="1" t="n"/>
      <c r="B15" s="15" t="n"/>
      <c r="C15" s="15" t="n"/>
      <c r="D15" s="15" t="n"/>
      <c r="E15" s="19" t="n"/>
      <c r="F15" s="20">
        <f>IF(B15="","",IFERROR(D15*E15,0))</f>
        <v/>
      </c>
      <c r="G15" s="19" t="n"/>
      <c r="H15" s="20">
        <f>IF(B15="","",F15-G15)</f>
        <v/>
      </c>
      <c r="I15" s="1">
        <f>IF(B15="","",IF(H15&lt;0,"Über Plan","Im Plan"))</f>
        <v/>
      </c>
      <c r="J15" s="15" t="n"/>
    </row>
    <row r="16" ht="28" customHeight="1">
      <c r="A16" s="1" t="n"/>
      <c r="B16" s="15" t="n"/>
      <c r="C16" s="15" t="n"/>
      <c r="D16" s="15" t="n"/>
      <c r="E16" s="19" t="n"/>
      <c r="F16" s="20">
        <f>IF(B16="","",IFERROR(D16*E16,0))</f>
        <v/>
      </c>
      <c r="G16" s="19" t="n"/>
      <c r="H16" s="20">
        <f>IF(B16="","",F16-G16)</f>
        <v/>
      </c>
      <c r="I16" s="1">
        <f>IF(B16="","",IF(H16&lt;0,"Über Plan","Im Plan"))</f>
        <v/>
      </c>
      <c r="J16" s="15" t="n"/>
    </row>
    <row r="17" ht="28" customHeight="1">
      <c r="A17" s="1" t="n"/>
      <c r="B17" s="15" t="n"/>
      <c r="C17" s="15" t="n"/>
      <c r="D17" s="15" t="n"/>
      <c r="E17" s="19" t="n"/>
      <c r="F17" s="20">
        <f>IF(B17="","",IFERROR(D17*E17,0))</f>
        <v/>
      </c>
      <c r="G17" s="19" t="n"/>
      <c r="H17" s="20">
        <f>IF(B17="","",F17-G17)</f>
        <v/>
      </c>
      <c r="I17" s="1">
        <f>IF(B17="","",IF(H17&lt;0,"Über Plan","Im Plan"))</f>
        <v/>
      </c>
      <c r="J17" s="15" t="n"/>
    </row>
    <row r="18" ht="28" customHeight="1">
      <c r="A18" s="1" t="n"/>
      <c r="B18" s="15" t="n"/>
      <c r="C18" s="15" t="n"/>
      <c r="D18" s="15" t="n"/>
      <c r="E18" s="19" t="n"/>
      <c r="F18" s="20">
        <f>IF(B18="","",IFERROR(D18*E18,0))</f>
        <v/>
      </c>
      <c r="G18" s="19" t="n"/>
      <c r="H18" s="20">
        <f>IF(B18="","",F18-G18)</f>
        <v/>
      </c>
      <c r="I18" s="1">
        <f>IF(B18="","",IF(H18&lt;0,"Über Plan","Im Plan"))</f>
        <v/>
      </c>
      <c r="J18" s="15" t="n"/>
    </row>
    <row r="19" ht="28" customHeight="1">
      <c r="A19" s="1" t="n"/>
      <c r="B19" s="15" t="n"/>
      <c r="C19" s="15" t="n"/>
      <c r="D19" s="15" t="n"/>
      <c r="E19" s="19" t="n"/>
      <c r="F19" s="20">
        <f>IF(B19="","",IFERROR(D19*E19,0))</f>
        <v/>
      </c>
      <c r="G19" s="19" t="n"/>
      <c r="H19" s="20">
        <f>IF(B19="","",F19-G19)</f>
        <v/>
      </c>
      <c r="I19" s="1">
        <f>IF(B19="","",IF(H19&lt;0,"Über Plan","Im Plan"))</f>
        <v/>
      </c>
      <c r="J19" s="15" t="n"/>
    </row>
    <row r="20" ht="28" customHeight="1">
      <c r="A20" s="1" t="n"/>
      <c r="B20" s="15" t="n"/>
      <c r="C20" s="15" t="n"/>
      <c r="D20" s="15" t="n"/>
      <c r="E20" s="19" t="n"/>
      <c r="F20" s="20">
        <f>IF(B20="","",IFERROR(D20*E20,0))</f>
        <v/>
      </c>
      <c r="G20" s="19" t="n"/>
      <c r="H20" s="20">
        <f>IF(B20="","",F20-G20)</f>
        <v/>
      </c>
      <c r="I20" s="1">
        <f>IF(B20="","",IF(H20&lt;0,"Über Plan","Im Plan"))</f>
        <v/>
      </c>
      <c r="J20" s="15" t="n"/>
    </row>
    <row r="21" ht="28" customHeight="1">
      <c r="A21" s="1" t="n"/>
      <c r="B21" s="15" t="n"/>
      <c r="C21" s="15" t="n"/>
      <c r="D21" s="15" t="n"/>
      <c r="E21" s="19" t="n"/>
      <c r="F21" s="20">
        <f>IF(B21="","",IFERROR(D21*E21,0))</f>
        <v/>
      </c>
      <c r="G21" s="19" t="n"/>
      <c r="H21" s="20">
        <f>IF(B21="","",F21-G21)</f>
        <v/>
      </c>
      <c r="I21" s="1">
        <f>IF(B21="","",IF(H21&lt;0,"Über Plan","Im Plan"))</f>
        <v/>
      </c>
      <c r="J21" s="15" t="n"/>
    </row>
    <row r="22" ht="28" customHeight="1">
      <c r="A22" s="1" t="n"/>
      <c r="B22" s="15" t="n"/>
      <c r="C22" s="15" t="n"/>
      <c r="D22" s="15" t="n"/>
      <c r="E22" s="19" t="n"/>
      <c r="F22" s="20">
        <f>IF(B22="","",IFERROR(D22*E22,0))</f>
        <v/>
      </c>
      <c r="G22" s="19" t="n"/>
      <c r="H22" s="20">
        <f>IF(B22="","",F22-G22)</f>
        <v/>
      </c>
      <c r="I22" s="1">
        <f>IF(B22="","",IF(H22&lt;0,"Über Plan","Im Plan"))</f>
        <v/>
      </c>
      <c r="J22" s="15" t="n"/>
    </row>
    <row r="23" ht="28" customHeight="1">
      <c r="A23" s="1" t="n"/>
      <c r="B23" s="15" t="n"/>
      <c r="C23" s="15" t="n"/>
      <c r="D23" s="15" t="n"/>
      <c r="E23" s="19" t="n"/>
      <c r="F23" s="20">
        <f>IF(B23="","",IFERROR(D23*E23,0))</f>
        <v/>
      </c>
      <c r="G23" s="19" t="n"/>
      <c r="H23" s="20">
        <f>IF(B23="","",F23-G23)</f>
        <v/>
      </c>
      <c r="I23" s="1">
        <f>IF(B23="","",IF(H23&lt;0,"Über Plan","Im Plan"))</f>
        <v/>
      </c>
      <c r="J23" s="15" t="n"/>
    </row>
    <row r="24" ht="28" customHeight="1">
      <c r="A24" s="1" t="n"/>
      <c r="B24" s="15" t="n"/>
      <c r="C24" s="15" t="n"/>
      <c r="D24" s="15" t="n"/>
      <c r="E24" s="19" t="n"/>
      <c r="F24" s="20">
        <f>IF(B24="","",IFERROR(D24*E24,0))</f>
        <v/>
      </c>
      <c r="G24" s="19" t="n"/>
      <c r="H24" s="20">
        <f>IF(B24="","",F24-G24)</f>
        <v/>
      </c>
      <c r="I24" s="1">
        <f>IF(B24="","",IF(H24&lt;0,"Über Plan","Im Plan"))</f>
        <v/>
      </c>
      <c r="J24" s="15" t="n"/>
    </row>
    <row r="25" ht="28" customHeight="1">
      <c r="A25" s="1" t="n"/>
      <c r="B25" s="15" t="n"/>
      <c r="C25" s="15" t="n"/>
      <c r="D25" s="15" t="n"/>
      <c r="E25" s="19" t="n"/>
      <c r="F25" s="20">
        <f>IF(B25="","",IFERROR(D25*E25,0))</f>
        <v/>
      </c>
      <c r="G25" s="19" t="n"/>
      <c r="H25" s="20">
        <f>IF(B25="","",F25-G25)</f>
        <v/>
      </c>
      <c r="I25" s="1">
        <f>IF(B25="","",IF(H25&lt;0,"Über Plan","Im Plan"))</f>
        <v/>
      </c>
      <c r="J25" s="15" t="n"/>
    </row>
    <row r="26" ht="28" customHeight="1">
      <c r="A26" s="1" t="n"/>
      <c r="B26" s="15" t="n"/>
      <c r="C26" s="15" t="n"/>
      <c r="D26" s="15" t="n"/>
      <c r="E26" s="19" t="n"/>
      <c r="F26" s="20">
        <f>IF(B26="","",IFERROR(D26*E26,0))</f>
        <v/>
      </c>
      <c r="G26" s="19" t="n"/>
      <c r="H26" s="20">
        <f>IF(B26="","",F26-G26)</f>
        <v/>
      </c>
      <c r="I26" s="1">
        <f>IF(B26="","",IF(H26&lt;0,"Über Plan","Im Plan"))</f>
        <v/>
      </c>
      <c r="J26" s="15" t="n"/>
    </row>
    <row r="27" ht="28" customHeight="1">
      <c r="A27" s="1" t="n"/>
      <c r="B27" s="15" t="n"/>
      <c r="C27" s="15" t="n"/>
      <c r="D27" s="15" t="n"/>
      <c r="E27" s="19" t="n"/>
      <c r="F27" s="20">
        <f>IF(B27="","",IFERROR(D27*E27,0))</f>
        <v/>
      </c>
      <c r="G27" s="19" t="n"/>
      <c r="H27" s="20">
        <f>IF(B27="","",F27-G27)</f>
        <v/>
      </c>
      <c r="I27" s="1">
        <f>IF(B27="","",IF(H27&lt;0,"Über Plan","Im Plan"))</f>
        <v/>
      </c>
      <c r="J27" s="15" t="n"/>
    </row>
    <row r="28" ht="28" customHeight="1">
      <c r="A28" s="1" t="n"/>
      <c r="B28" s="15" t="n"/>
      <c r="C28" s="15" t="n"/>
      <c r="D28" s="15" t="n"/>
      <c r="E28" s="19" t="n"/>
      <c r="F28" s="20">
        <f>IF(B28="","",IFERROR(D28*E28,0))</f>
        <v/>
      </c>
      <c r="G28" s="19" t="n"/>
      <c r="H28" s="20">
        <f>IF(B28="","",F28-G28)</f>
        <v/>
      </c>
      <c r="I28" s="1">
        <f>IF(B28="","",IF(H28&lt;0,"Über Plan","Im Plan"))</f>
        <v/>
      </c>
      <c r="J28" s="15" t="n"/>
    </row>
    <row r="29" ht="28" customHeight="1">
      <c r="A29" s="1" t="n"/>
      <c r="B29" s="15" t="n"/>
      <c r="C29" s="15" t="n"/>
      <c r="D29" s="15" t="n"/>
      <c r="E29" s="19" t="n"/>
      <c r="F29" s="20">
        <f>IF(B29="","",IFERROR(D29*E29,0))</f>
        <v/>
      </c>
      <c r="G29" s="19" t="n"/>
      <c r="H29" s="20">
        <f>IF(B29="","",F29-G29)</f>
        <v/>
      </c>
      <c r="I29" s="1">
        <f>IF(B29="","",IF(H29&lt;0,"Über Plan","Im Plan"))</f>
        <v/>
      </c>
      <c r="J29" s="15" t="n"/>
    </row>
    <row r="30" ht="28" customHeight="1">
      <c r="A30" s="1" t="n"/>
      <c r="B30" s="15" t="n"/>
      <c r="C30" s="15" t="n"/>
      <c r="D30" s="15" t="n"/>
      <c r="E30" s="19" t="n"/>
      <c r="F30" s="20">
        <f>IF(B30="","",IFERROR(D30*E30,0))</f>
        <v/>
      </c>
      <c r="G30" s="19" t="n"/>
      <c r="H30" s="20">
        <f>IF(B30="","",F30-G30)</f>
        <v/>
      </c>
      <c r="I30" s="1">
        <f>IF(B30="","",IF(H30&lt;0,"Über Plan","Im Plan"))</f>
        <v/>
      </c>
      <c r="J30" s="15" t="n"/>
    </row>
    <row r="31" ht="28" customHeight="1">
      <c r="A31" s="1" t="n"/>
      <c r="B31" s="15" t="n"/>
      <c r="C31" s="15" t="n"/>
      <c r="D31" s="15" t="n"/>
      <c r="E31" s="19" t="n"/>
      <c r="F31" s="20">
        <f>IF(B31="","",IFERROR(D31*E31,0))</f>
        <v/>
      </c>
      <c r="G31" s="19" t="n"/>
      <c r="H31" s="20">
        <f>IF(B31="","",F31-G31)</f>
        <v/>
      </c>
      <c r="I31" s="1">
        <f>IF(B31="","",IF(H31&lt;0,"Über Plan","Im Plan"))</f>
        <v/>
      </c>
      <c r="J31" s="15" t="n"/>
    </row>
    <row r="32" ht="28" customHeight="1">
      <c r="A32" s="1" t="n"/>
      <c r="B32" s="15" t="n"/>
      <c r="C32" s="15" t="n"/>
      <c r="D32" s="15" t="n"/>
      <c r="E32" s="19" t="n"/>
      <c r="F32" s="20">
        <f>IF(B32="","",IFERROR(D32*E32,0))</f>
        <v/>
      </c>
      <c r="G32" s="19" t="n"/>
      <c r="H32" s="20">
        <f>IF(B32="","",F32-G32)</f>
        <v/>
      </c>
      <c r="I32" s="1">
        <f>IF(B32="","",IF(H32&lt;0,"Über Plan","Im Plan"))</f>
        <v/>
      </c>
      <c r="J32" s="15" t="n"/>
    </row>
    <row r="33" ht="28" customHeight="1">
      <c r="A33" s="1" t="n"/>
      <c r="B33" s="15" t="n"/>
      <c r="C33" s="15" t="n"/>
      <c r="D33" s="15" t="n"/>
      <c r="E33" s="19" t="n"/>
      <c r="F33" s="20">
        <f>IF(B33="","",IFERROR(D33*E33,0))</f>
        <v/>
      </c>
      <c r="G33" s="19" t="n"/>
      <c r="H33" s="20">
        <f>IF(B33="","",F33-G33)</f>
        <v/>
      </c>
      <c r="I33" s="1">
        <f>IF(B33="","",IF(H33&lt;0,"Über Plan","Im Plan"))</f>
        <v/>
      </c>
      <c r="J33" s="15" t="n"/>
    </row>
    <row r="34" ht="28" customHeight="1">
      <c r="A34" s="1" t="n"/>
      <c r="B34" s="15" t="n"/>
      <c r="C34" s="15" t="n"/>
      <c r="D34" s="15" t="n"/>
      <c r="E34" s="19" t="n"/>
      <c r="F34" s="20">
        <f>IF(B34="","",IFERROR(D34*E34,0))</f>
        <v/>
      </c>
      <c r="G34" s="19" t="n"/>
      <c r="H34" s="20">
        <f>IF(B34="","",F34-G34)</f>
        <v/>
      </c>
      <c r="I34" s="1">
        <f>IF(B34="","",IF(H34&lt;0,"Über Plan","Im Plan"))</f>
        <v/>
      </c>
      <c r="J34" s="15" t="n"/>
    </row>
    <row r="35" ht="28" customHeight="1">
      <c r="A35" s="1" t="n"/>
      <c r="B35" s="15" t="n"/>
      <c r="C35" s="15" t="n"/>
      <c r="D35" s="15" t="n"/>
      <c r="E35" s="19" t="n"/>
      <c r="F35" s="20">
        <f>IF(B35="","",IFERROR(D35*E35,0))</f>
        <v/>
      </c>
      <c r="G35" s="19" t="n"/>
      <c r="H35" s="20">
        <f>IF(B35="","",F35-G35)</f>
        <v/>
      </c>
      <c r="I35" s="1">
        <f>IF(B35="","",IF(H35&lt;0,"Über Plan","Im Plan"))</f>
        <v/>
      </c>
      <c r="J35" s="15" t="n"/>
    </row>
    <row r="36" ht="28" customHeight="1">
      <c r="A36" s="1" t="n"/>
      <c r="B36" s="15" t="n"/>
      <c r="C36" s="15" t="n"/>
      <c r="D36" s="15" t="n"/>
      <c r="E36" s="19" t="n"/>
      <c r="F36" s="20">
        <f>IF(B36="","",IFERROR(D36*E36,0))</f>
        <v/>
      </c>
      <c r="G36" s="19" t="n"/>
      <c r="H36" s="20">
        <f>IF(B36="","",F36-G36)</f>
        <v/>
      </c>
      <c r="I36" s="1">
        <f>IF(B36="","",IF(H36&lt;0,"Über Plan","Im Plan"))</f>
        <v/>
      </c>
      <c r="J36" s="15" t="n"/>
    </row>
    <row r="37" ht="28" customHeight="1">
      <c r="A37" s="1" t="n"/>
      <c r="B37" s="15" t="n"/>
      <c r="C37" s="15" t="n"/>
      <c r="D37" s="15" t="n"/>
      <c r="E37" s="19" t="n"/>
      <c r="F37" s="20">
        <f>IF(B37="","",IFERROR(D37*E37,0))</f>
        <v/>
      </c>
      <c r="G37" s="19" t="n"/>
      <c r="H37" s="20">
        <f>IF(B37="","",F37-G37)</f>
        <v/>
      </c>
      <c r="I37" s="1">
        <f>IF(B37="","",IF(H37&lt;0,"Über Plan","Im Plan"))</f>
        <v/>
      </c>
      <c r="J37" s="15" t="n"/>
    </row>
    <row r="38" ht="28" customHeight="1">
      <c r="A38" s="1" t="n"/>
      <c r="B38" s="15" t="n"/>
      <c r="C38" s="15" t="n"/>
      <c r="D38" s="15" t="n"/>
      <c r="E38" s="19" t="n"/>
      <c r="F38" s="20">
        <f>IF(B38="","",IFERROR(D38*E38,0))</f>
        <v/>
      </c>
      <c r="G38" s="19" t="n"/>
      <c r="H38" s="20">
        <f>IF(B38="","",F38-G38)</f>
        <v/>
      </c>
      <c r="I38" s="1">
        <f>IF(B38="","",IF(H38&lt;0,"Über Plan","Im Plan"))</f>
        <v/>
      </c>
      <c r="J38" s="15" t="n"/>
    </row>
    <row r="39" ht="28" customHeight="1">
      <c r="A39" s="1" t="n"/>
      <c r="B39" s="15" t="n"/>
      <c r="C39" s="15" t="n"/>
      <c r="D39" s="15" t="n"/>
      <c r="E39" s="19" t="n"/>
      <c r="F39" s="20">
        <f>IF(B39="","",IFERROR(D39*E39,0))</f>
        <v/>
      </c>
      <c r="G39" s="19" t="n"/>
      <c r="H39" s="20">
        <f>IF(B39="","",F39-G39)</f>
        <v/>
      </c>
      <c r="I39" s="1">
        <f>IF(B39="","",IF(H39&lt;0,"Über Plan","Im Plan"))</f>
        <v/>
      </c>
      <c r="J39" s="15" t="n"/>
    </row>
    <row r="40" ht="28" customHeight="1">
      <c r="A40" s="1" t="n"/>
      <c r="B40" s="15" t="n"/>
      <c r="C40" s="15" t="n"/>
      <c r="D40" s="15" t="n"/>
      <c r="E40" s="19" t="n"/>
      <c r="F40" s="20">
        <f>IF(B40="","",IFERROR(D40*E40,0))</f>
        <v/>
      </c>
      <c r="G40" s="19" t="n"/>
      <c r="H40" s="20">
        <f>IF(B40="","",F40-G40)</f>
        <v/>
      </c>
      <c r="I40" s="1">
        <f>IF(B40="","",IF(H40&lt;0,"Über Plan","Im Plan"))</f>
        <v/>
      </c>
      <c r="J40" s="15" t="n"/>
    </row>
    <row r="41" ht="28" customHeight="1">
      <c r="A41" s="1" t="n"/>
      <c r="B41" s="15" t="n"/>
      <c r="C41" s="15" t="n"/>
      <c r="D41" s="15" t="n"/>
      <c r="E41" s="19" t="n"/>
      <c r="F41" s="20">
        <f>IF(B41="","",IFERROR(D41*E41,0))</f>
        <v/>
      </c>
      <c r="G41" s="19" t="n"/>
      <c r="H41" s="20">
        <f>IF(B41="","",F41-G41)</f>
        <v/>
      </c>
      <c r="I41" s="1">
        <f>IF(B41="","",IF(H41&lt;0,"Über Plan","Im Plan"))</f>
        <v/>
      </c>
      <c r="J41" s="15" t="n"/>
    </row>
    <row r="42" ht="28" customHeight="1">
      <c r="A42" s="1" t="n"/>
      <c r="B42" s="15" t="n"/>
      <c r="C42" s="15" t="n"/>
      <c r="D42" s="15" t="n"/>
      <c r="E42" s="19" t="n"/>
      <c r="F42" s="20">
        <f>IF(B42="","",IFERROR(D42*E42,0))</f>
        <v/>
      </c>
      <c r="G42" s="19" t="n"/>
      <c r="H42" s="20">
        <f>IF(B42="","",F42-G42)</f>
        <v/>
      </c>
      <c r="I42" s="1">
        <f>IF(B42="","",IF(H42&lt;0,"Über Plan","Im Plan"))</f>
        <v/>
      </c>
      <c r="J42" s="15" t="n"/>
    </row>
    <row r="43" ht="28" customHeight="1">
      <c r="A43" s="1" t="n"/>
      <c r="B43" s="15" t="n"/>
      <c r="C43" s="15" t="n"/>
      <c r="D43" s="15" t="n"/>
      <c r="E43" s="19" t="n"/>
      <c r="F43" s="20">
        <f>IF(B43="","",IFERROR(D43*E43,0))</f>
        <v/>
      </c>
      <c r="G43" s="19" t="n"/>
      <c r="H43" s="20">
        <f>IF(B43="","",F43-G43)</f>
        <v/>
      </c>
      <c r="I43" s="1">
        <f>IF(B43="","",IF(H43&lt;0,"Über Plan","Im Plan"))</f>
        <v/>
      </c>
      <c r="J43" s="15" t="n"/>
    </row>
    <row r="44" ht="28" customHeight="1">
      <c r="A44" s="1" t="n"/>
      <c r="B44" s="15" t="n"/>
      <c r="C44" s="15" t="n"/>
      <c r="D44" s="15" t="n"/>
      <c r="E44" s="19" t="n"/>
      <c r="F44" s="20">
        <f>IF(B44="","",IFERROR(D44*E44,0))</f>
        <v/>
      </c>
      <c r="G44" s="19" t="n"/>
      <c r="H44" s="20">
        <f>IF(B44="","",F44-G44)</f>
        <v/>
      </c>
      <c r="I44" s="1">
        <f>IF(B44="","",IF(H44&lt;0,"Über Plan","Im Plan"))</f>
        <v/>
      </c>
      <c r="J44" s="15" t="n"/>
    </row>
    <row r="45" ht="28" customHeight="1">
      <c r="A45" s="1" t="n"/>
      <c r="B45" s="15" t="n"/>
      <c r="C45" s="15" t="n"/>
      <c r="D45" s="15" t="n"/>
      <c r="E45" s="19" t="n"/>
      <c r="F45" s="20">
        <f>IF(B45="","",IFERROR(D45*E45,0))</f>
        <v/>
      </c>
      <c r="G45" s="19" t="n"/>
      <c r="H45" s="20">
        <f>IF(B45="","",F45-G45)</f>
        <v/>
      </c>
      <c r="I45" s="1">
        <f>IF(B45="","",IF(H45&lt;0,"Über Plan","Im Plan"))</f>
        <v/>
      </c>
      <c r="J45" s="15" t="n"/>
    </row>
    <row r="46" ht="28" customHeight="1">
      <c r="A46" s="1" t="n"/>
      <c r="B46" s="15" t="n"/>
      <c r="C46" s="15" t="n"/>
      <c r="D46" s="15" t="n"/>
      <c r="E46" s="19" t="n"/>
      <c r="F46" s="20">
        <f>IF(B46="","",IFERROR(D46*E46,0))</f>
        <v/>
      </c>
      <c r="G46" s="19" t="n"/>
      <c r="H46" s="20">
        <f>IF(B46="","",F46-G46)</f>
        <v/>
      </c>
      <c r="I46" s="1">
        <f>IF(B46="","",IF(H46&lt;0,"Über Plan","Im Plan"))</f>
        <v/>
      </c>
      <c r="J46" s="15" t="n"/>
    </row>
    <row r="47" ht="28" customHeight="1">
      <c r="A47" s="1" t="n"/>
      <c r="B47" s="15" t="n"/>
      <c r="C47" s="15" t="n"/>
      <c r="D47" s="15" t="n"/>
      <c r="E47" s="19" t="n"/>
      <c r="F47" s="20">
        <f>IF(B47="","",IFERROR(D47*E47,0))</f>
        <v/>
      </c>
      <c r="G47" s="19" t="n"/>
      <c r="H47" s="20">
        <f>IF(B47="","",F47-G47)</f>
        <v/>
      </c>
      <c r="I47" s="1">
        <f>IF(B47="","",IF(H47&lt;0,"Über Plan","Im Plan"))</f>
        <v/>
      </c>
      <c r="J47" s="15" t="n"/>
    </row>
    <row r="48" ht="28" customHeight="1">
      <c r="A48" s="1" t="n"/>
      <c r="B48" s="15" t="n"/>
      <c r="C48" s="15" t="n"/>
      <c r="D48" s="15" t="n"/>
      <c r="E48" s="19" t="n"/>
      <c r="F48" s="20">
        <f>IF(B48="","",IFERROR(D48*E48,0))</f>
        <v/>
      </c>
      <c r="G48" s="19" t="n"/>
      <c r="H48" s="20">
        <f>IF(B48="","",F48-G48)</f>
        <v/>
      </c>
      <c r="I48" s="1">
        <f>IF(B48="","",IF(H48&lt;0,"Über Plan","Im Plan"))</f>
        <v/>
      </c>
      <c r="J48" s="15" t="n"/>
    </row>
    <row r="49" ht="28" customHeight="1">
      <c r="A49" s="1" t="n"/>
      <c r="B49" s="15" t="n"/>
      <c r="C49" s="15" t="n"/>
      <c r="D49" s="15" t="n"/>
      <c r="E49" s="19" t="n"/>
      <c r="F49" s="20">
        <f>IF(B49="","",IFERROR(D49*E49,0))</f>
        <v/>
      </c>
      <c r="G49" s="19" t="n"/>
      <c r="H49" s="20">
        <f>IF(B49="","",F49-G49)</f>
        <v/>
      </c>
      <c r="I49" s="1">
        <f>IF(B49="","",IF(H49&lt;0,"Über Plan","Im Plan"))</f>
        <v/>
      </c>
      <c r="J49" s="15" t="n"/>
    </row>
    <row r="50" ht="28" customHeight="1">
      <c r="A50" s="1" t="n"/>
      <c r="B50" s="15" t="n"/>
      <c r="C50" s="15" t="n"/>
      <c r="D50" s="15" t="n"/>
      <c r="E50" s="19" t="n"/>
      <c r="F50" s="20">
        <f>IF(B50="","",IFERROR(D50*E50,0))</f>
        <v/>
      </c>
      <c r="G50" s="19" t="n"/>
      <c r="H50" s="20">
        <f>IF(B50="","",F50-G50)</f>
        <v/>
      </c>
      <c r="I50" s="1">
        <f>IF(B50="","",IF(H50&lt;0,"Über Plan","Im Plan"))</f>
        <v/>
      </c>
      <c r="J50" s="15" t="n"/>
    </row>
    <row r="51" ht="28" customHeight="1">
      <c r="A51" s="1" t="n"/>
      <c r="B51" s="15" t="n"/>
      <c r="C51" s="15" t="n"/>
      <c r="D51" s="15" t="n"/>
      <c r="E51" s="19" t="n"/>
      <c r="F51" s="20">
        <f>IF(B51="","",IFERROR(D51*E51,0))</f>
        <v/>
      </c>
      <c r="G51" s="19" t="n"/>
      <c r="H51" s="20">
        <f>IF(B51="","",F51-G51)</f>
        <v/>
      </c>
      <c r="I51" s="1">
        <f>IF(B51="","",IF(H51&lt;0,"Über Plan","Im Plan"))</f>
        <v/>
      </c>
      <c r="J51" s="15" t="n"/>
    </row>
    <row r="52" ht="28" customHeight="1">
      <c r="A52" s="1" t="n"/>
      <c r="B52" s="15" t="n"/>
      <c r="C52" s="15" t="n"/>
      <c r="D52" s="15" t="n"/>
      <c r="E52" s="19" t="n"/>
      <c r="F52" s="20">
        <f>IF(B52="","",IFERROR(D52*E52,0))</f>
        <v/>
      </c>
      <c r="G52" s="19" t="n"/>
      <c r="H52" s="20">
        <f>IF(B52="","",F52-G52)</f>
        <v/>
      </c>
      <c r="I52" s="1">
        <f>IF(B52="","",IF(H52&lt;0,"Über Plan","Im Plan"))</f>
        <v/>
      </c>
      <c r="J52" s="15" t="n"/>
    </row>
    <row r="53" ht="28" customHeight="1">
      <c r="A53" s="1" t="n"/>
      <c r="B53" s="15" t="n"/>
      <c r="C53" s="15" t="n"/>
      <c r="D53" s="15" t="n"/>
      <c r="E53" s="19" t="n"/>
      <c r="F53" s="20">
        <f>IF(B53="","",IFERROR(D53*E53,0))</f>
        <v/>
      </c>
      <c r="G53" s="19" t="n"/>
      <c r="H53" s="20">
        <f>IF(B53="","",F53-G53)</f>
        <v/>
      </c>
      <c r="I53" s="1">
        <f>IF(B53="","",IF(H53&lt;0,"Über Plan","Im Plan"))</f>
        <v/>
      </c>
      <c r="J53" s="15" t="n"/>
    </row>
    <row r="54" ht="28" customHeight="1">
      <c r="A54" s="1" t="n"/>
      <c r="B54" s="15" t="n"/>
      <c r="C54" s="15" t="n"/>
      <c r="D54" s="15" t="n"/>
      <c r="E54" s="19" t="n"/>
      <c r="F54" s="20">
        <f>IF(B54="","",IFERROR(D54*E54,0))</f>
        <v/>
      </c>
      <c r="G54" s="19" t="n"/>
      <c r="H54" s="20">
        <f>IF(B54="","",F54-G54)</f>
        <v/>
      </c>
      <c r="I54" s="1">
        <f>IF(B54="","",IF(H54&lt;0,"Über Plan","Im Plan"))</f>
        <v/>
      </c>
      <c r="J54" s="15" t="n"/>
    </row>
    <row r="55" ht="28" customHeight="1">
      <c r="A55" s="1" t="n"/>
      <c r="B55" s="15" t="n"/>
      <c r="C55" s="15" t="n"/>
      <c r="D55" s="15" t="n"/>
      <c r="E55" s="19" t="n"/>
      <c r="F55" s="20">
        <f>IF(B55="","",IFERROR(D55*E55,0))</f>
        <v/>
      </c>
      <c r="G55" s="19" t="n"/>
      <c r="H55" s="20">
        <f>IF(B55="","",F55-G55)</f>
        <v/>
      </c>
      <c r="I55" s="1">
        <f>IF(B55="","",IF(H55&lt;0,"Über Plan","Im Plan"))</f>
        <v/>
      </c>
      <c r="J55" s="15" t="n"/>
    </row>
    <row r="56" ht="28" customHeight="1">
      <c r="A56" s="1" t="n"/>
      <c r="B56" s="15" t="n"/>
      <c r="C56" s="15" t="n"/>
      <c r="D56" s="15" t="n"/>
      <c r="E56" s="19" t="n"/>
      <c r="F56" s="20">
        <f>IF(B56="","",IFERROR(D56*E56,0))</f>
        <v/>
      </c>
      <c r="G56" s="19" t="n"/>
      <c r="H56" s="20">
        <f>IF(B56="","",F56-G56)</f>
        <v/>
      </c>
      <c r="I56" s="1">
        <f>IF(B56="","",IF(H56&lt;0,"Über Plan","Im Plan"))</f>
        <v/>
      </c>
      <c r="J56" s="15" t="n"/>
    </row>
    <row r="57" ht="28" customHeight="1">
      <c r="A57" s="1" t="n"/>
      <c r="B57" s="15" t="n"/>
      <c r="C57" s="15" t="n"/>
      <c r="D57" s="15" t="n"/>
      <c r="E57" s="19" t="n"/>
      <c r="F57" s="20">
        <f>IF(B57="","",IFERROR(D57*E57,0))</f>
        <v/>
      </c>
      <c r="G57" s="19" t="n"/>
      <c r="H57" s="20">
        <f>IF(B57="","",F57-G57)</f>
        <v/>
      </c>
      <c r="I57" s="1">
        <f>IF(B57="","",IF(H57&lt;0,"Über Plan","Im Plan"))</f>
        <v/>
      </c>
      <c r="J57" s="15" t="n"/>
    </row>
    <row r="58" ht="28" customHeight="1">
      <c r="A58" s="1" t="n"/>
      <c r="B58" s="15" t="n"/>
      <c r="C58" s="15" t="n"/>
      <c r="D58" s="15" t="n"/>
      <c r="E58" s="19" t="n"/>
      <c r="F58" s="20">
        <f>IF(B58="","",IFERROR(D58*E58,0))</f>
        <v/>
      </c>
      <c r="G58" s="19" t="n"/>
      <c r="H58" s="20">
        <f>IF(B58="","",F58-G58)</f>
        <v/>
      </c>
      <c r="I58" s="1">
        <f>IF(B58="","",IF(H58&lt;0,"Über Plan","Im Plan"))</f>
        <v/>
      </c>
      <c r="J58" s="15" t="n"/>
    </row>
    <row r="59" ht="28" customHeight="1">
      <c r="A59" s="1" t="n"/>
      <c r="B59" s="15" t="n"/>
      <c r="C59" s="15" t="n"/>
      <c r="D59" s="15" t="n"/>
      <c r="E59" s="19" t="n"/>
      <c r="F59" s="20">
        <f>IF(B59="","",IFERROR(D59*E59,0))</f>
        <v/>
      </c>
      <c r="G59" s="19" t="n"/>
      <c r="H59" s="20">
        <f>IF(B59="","",F59-G59)</f>
        <v/>
      </c>
      <c r="I59" s="1">
        <f>IF(B59="","",IF(H59&lt;0,"Über Plan","Im Plan"))</f>
        <v/>
      </c>
      <c r="J59" s="15" t="n"/>
    </row>
    <row r="60" ht="28" customHeight="1">
      <c r="A60" s="1" t="n"/>
      <c r="B60" s="15" t="n"/>
      <c r="C60" s="15" t="n"/>
      <c r="D60" s="15" t="n"/>
      <c r="E60" s="19" t="n"/>
      <c r="F60" s="20">
        <f>IF(B60="","",IFERROR(D60*E60,0))</f>
        <v/>
      </c>
      <c r="G60" s="19" t="n"/>
      <c r="H60" s="20">
        <f>IF(B60="","",F60-G60)</f>
        <v/>
      </c>
      <c r="I60" s="1">
        <f>IF(B60="","",IF(H60&lt;0,"Über Plan","Im Plan"))</f>
        <v/>
      </c>
      <c r="J60" s="15" t="n"/>
    </row>
    <row r="61" ht="28" customHeight="1">
      <c r="A61" s="1" t="n"/>
      <c r="B61" s="15" t="n"/>
      <c r="C61" s="15" t="n"/>
      <c r="D61" s="15" t="n"/>
      <c r="E61" s="19" t="n"/>
      <c r="F61" s="20">
        <f>IF(B61="","",IFERROR(D61*E61,0))</f>
        <v/>
      </c>
      <c r="G61" s="19" t="n"/>
      <c r="H61" s="20">
        <f>IF(B61="","",F61-G61)</f>
        <v/>
      </c>
      <c r="I61" s="1">
        <f>IF(B61="","",IF(H61&lt;0,"Über Plan","Im Plan"))</f>
        <v/>
      </c>
      <c r="J61" s="15" t="n"/>
    </row>
    <row r="62" ht="28" customHeight="1">
      <c r="A62" s="1" t="n"/>
      <c r="B62" s="15" t="n"/>
      <c r="C62" s="15" t="n"/>
      <c r="D62" s="15" t="n"/>
      <c r="E62" s="19" t="n"/>
      <c r="F62" s="20">
        <f>IF(B62="","",IFERROR(D62*E62,0))</f>
        <v/>
      </c>
      <c r="G62" s="19" t="n"/>
      <c r="H62" s="20">
        <f>IF(B62="","",F62-G62)</f>
        <v/>
      </c>
      <c r="I62" s="1">
        <f>IF(B62="","",IF(H62&lt;0,"Über Plan","Im Plan"))</f>
        <v/>
      </c>
      <c r="J62" s="15" t="n"/>
    </row>
    <row r="63" ht="28" customHeight="1">
      <c r="A63" s="1" t="n"/>
      <c r="B63" s="15" t="n"/>
      <c r="C63" s="15" t="n"/>
      <c r="D63" s="15" t="n"/>
      <c r="E63" s="19" t="n"/>
      <c r="F63" s="20">
        <f>IF(B63="","",IFERROR(D63*E63,0))</f>
        <v/>
      </c>
      <c r="G63" s="19" t="n"/>
      <c r="H63" s="20">
        <f>IF(B63="","",F63-G63)</f>
        <v/>
      </c>
      <c r="I63" s="1">
        <f>IF(B63="","",IF(H63&lt;0,"Über Plan","Im Plan"))</f>
        <v/>
      </c>
      <c r="J63" s="15" t="n"/>
    </row>
    <row r="64" ht="28" customHeight="1">
      <c r="A64" s="1" t="n"/>
      <c r="B64" s="15" t="n"/>
      <c r="C64" s="15" t="n"/>
      <c r="D64" s="15" t="n"/>
      <c r="E64" s="19" t="n"/>
      <c r="F64" s="20">
        <f>IF(B64="","",IFERROR(D64*E64,0))</f>
        <v/>
      </c>
      <c r="G64" s="19" t="n"/>
      <c r="H64" s="20">
        <f>IF(B64="","",F64-G64)</f>
        <v/>
      </c>
      <c r="I64" s="1">
        <f>IF(B64="","",IF(H64&lt;0,"Über Plan","Im Plan"))</f>
        <v/>
      </c>
      <c r="J64" s="15" t="n"/>
    </row>
    <row r="65" ht="28" customHeight="1">
      <c r="A65" s="1" t="n"/>
      <c r="B65" s="15" t="n"/>
      <c r="C65" s="15" t="n"/>
      <c r="D65" s="15" t="n"/>
      <c r="E65" s="19" t="n"/>
      <c r="F65" s="20">
        <f>IF(B65="","",IFERROR(D65*E65,0))</f>
        <v/>
      </c>
      <c r="G65" s="19" t="n"/>
      <c r="H65" s="20">
        <f>IF(B65="","",F65-G65)</f>
        <v/>
      </c>
      <c r="I65" s="1">
        <f>IF(B65="","",IF(H65&lt;0,"Über Plan","Im Plan"))</f>
        <v/>
      </c>
      <c r="J65" s="15" t="n"/>
    </row>
    <row r="66" ht="28" customHeight="1">
      <c r="A66" s="1" t="n"/>
      <c r="B66" s="15" t="n"/>
      <c r="C66" s="15" t="n"/>
      <c r="D66" s="15" t="n"/>
      <c r="E66" s="19" t="n"/>
      <c r="F66" s="20">
        <f>IF(B66="","",IFERROR(D66*E66,0))</f>
        <v/>
      </c>
      <c r="G66" s="19" t="n"/>
      <c r="H66" s="20">
        <f>IF(B66="","",F66-G66)</f>
        <v/>
      </c>
      <c r="I66" s="1">
        <f>IF(B66="","",IF(H66&lt;0,"Über Plan","Im Plan"))</f>
        <v/>
      </c>
      <c r="J66" s="15" t="n"/>
    </row>
    <row r="67" ht="28" customHeight="1">
      <c r="A67" s="1" t="n"/>
      <c r="B67" s="15" t="n"/>
      <c r="C67" s="15" t="n"/>
      <c r="D67" s="15" t="n"/>
      <c r="E67" s="19" t="n"/>
      <c r="F67" s="20">
        <f>IF(B67="","",IFERROR(D67*E67,0))</f>
        <v/>
      </c>
      <c r="G67" s="19" t="n"/>
      <c r="H67" s="20">
        <f>IF(B67="","",F67-G67)</f>
        <v/>
      </c>
      <c r="I67" s="1">
        <f>IF(B67="","",IF(H67&lt;0,"Über Plan","Im Plan"))</f>
        <v/>
      </c>
      <c r="J67" s="15" t="n"/>
    </row>
    <row r="68" ht="28" customHeight="1">
      <c r="A68" s="1" t="n"/>
      <c r="B68" s="15" t="n"/>
      <c r="C68" s="15" t="n"/>
      <c r="D68" s="15" t="n"/>
      <c r="E68" s="19" t="n"/>
      <c r="F68" s="20">
        <f>IF(B68="","",IFERROR(D68*E68,0))</f>
        <v/>
      </c>
      <c r="G68" s="19" t="n"/>
      <c r="H68" s="20">
        <f>IF(B68="","",F68-G68)</f>
        <v/>
      </c>
      <c r="I68" s="1">
        <f>IF(B68="","",IF(H68&lt;0,"Über Plan","Im Plan"))</f>
        <v/>
      </c>
      <c r="J68" s="15" t="n"/>
    </row>
    <row r="69" ht="28" customHeight="1">
      <c r="A69" s="1" t="n"/>
      <c r="B69" s="15" t="n"/>
      <c r="C69" s="15" t="n"/>
      <c r="D69" s="15" t="n"/>
      <c r="E69" s="19" t="n"/>
      <c r="F69" s="20">
        <f>IF(B69="","",IFERROR(D69*E69,0))</f>
        <v/>
      </c>
      <c r="G69" s="19" t="n"/>
      <c r="H69" s="20">
        <f>IF(B69="","",F69-G69)</f>
        <v/>
      </c>
      <c r="I69" s="1">
        <f>IF(B69="","",IF(H69&lt;0,"Über Plan","Im Plan"))</f>
        <v/>
      </c>
      <c r="J69" s="15" t="n"/>
    </row>
    <row r="70" ht="28" customHeight="1">
      <c r="A70" s="1" t="n"/>
      <c r="B70" s="15" t="n"/>
      <c r="C70" s="15" t="n"/>
      <c r="D70" s="15" t="n"/>
      <c r="E70" s="19" t="n"/>
      <c r="F70" s="20">
        <f>IF(B70="","",IFERROR(D70*E70,0))</f>
        <v/>
      </c>
      <c r="G70" s="19" t="n"/>
      <c r="H70" s="20">
        <f>IF(B70="","",F70-G70)</f>
        <v/>
      </c>
      <c r="I70" s="1">
        <f>IF(B70="","",IF(H70&lt;0,"Über Plan","Im Plan"))</f>
        <v/>
      </c>
      <c r="J70" s="15" t="n"/>
    </row>
    <row r="71" ht="28" customHeight="1">
      <c r="A71" s="1" t="n"/>
      <c r="B71" s="15" t="n"/>
      <c r="C71" s="15" t="n"/>
      <c r="D71" s="15" t="n"/>
      <c r="E71" s="19" t="n"/>
      <c r="F71" s="20">
        <f>IF(B71="","",IFERROR(D71*E71,0))</f>
        <v/>
      </c>
      <c r="G71" s="19" t="n"/>
      <c r="H71" s="20">
        <f>IF(B71="","",F71-G71)</f>
        <v/>
      </c>
      <c r="I71" s="1">
        <f>IF(B71="","",IF(H71&lt;0,"Über Plan","Im Plan"))</f>
        <v/>
      </c>
      <c r="J71" s="15" t="n"/>
    </row>
    <row r="72" ht="28" customHeight="1">
      <c r="A72" s="1" t="n"/>
      <c r="B72" s="15" t="n"/>
      <c r="C72" s="15" t="n"/>
      <c r="D72" s="15" t="n"/>
      <c r="E72" s="19" t="n"/>
      <c r="F72" s="20">
        <f>IF(B72="","",IFERROR(D72*E72,0))</f>
        <v/>
      </c>
      <c r="G72" s="19" t="n"/>
      <c r="H72" s="20">
        <f>IF(B72="","",F72-G72)</f>
        <v/>
      </c>
      <c r="I72" s="1">
        <f>IF(B72="","",IF(H72&lt;0,"Über Plan","Im Plan"))</f>
        <v/>
      </c>
      <c r="J72" s="15" t="n"/>
    </row>
    <row r="73" ht="28" customHeight="1">
      <c r="A73" s="1" t="n"/>
      <c r="B73" s="15" t="n"/>
      <c r="C73" s="15" t="n"/>
      <c r="D73" s="15" t="n"/>
      <c r="E73" s="19" t="n"/>
      <c r="F73" s="20">
        <f>IF(B73="","",IFERROR(D73*E73,0))</f>
        <v/>
      </c>
      <c r="G73" s="19" t="n"/>
      <c r="H73" s="20">
        <f>IF(B73="","",F73-G73)</f>
        <v/>
      </c>
      <c r="I73" s="1">
        <f>IF(B73="","",IF(H73&lt;0,"Über Plan","Im Plan"))</f>
        <v/>
      </c>
      <c r="J73" s="15" t="n"/>
    </row>
    <row r="74" ht="28" customHeight="1">
      <c r="A74" s="1" t="n"/>
      <c r="B74" s="15" t="n"/>
      <c r="C74" s="15" t="n"/>
      <c r="D74" s="15" t="n"/>
      <c r="E74" s="19" t="n"/>
      <c r="F74" s="20">
        <f>IF(B74="","",IFERROR(D74*E74,0))</f>
        <v/>
      </c>
      <c r="G74" s="19" t="n"/>
      <c r="H74" s="20">
        <f>IF(B74="","",F74-G74)</f>
        <v/>
      </c>
      <c r="I74" s="1">
        <f>IF(B74="","",IF(H74&lt;0,"Über Plan","Im Plan"))</f>
        <v/>
      </c>
      <c r="J74" s="15" t="n"/>
    </row>
    <row r="75" ht="28" customHeight="1">
      <c r="A75" s="1" t="n"/>
      <c r="B75" s="15" t="n"/>
      <c r="C75" s="15" t="n"/>
      <c r="D75" s="15" t="n"/>
      <c r="E75" s="19" t="n"/>
      <c r="F75" s="20">
        <f>IF(B75="","",IFERROR(D75*E75,0))</f>
        <v/>
      </c>
      <c r="G75" s="19" t="n"/>
      <c r="H75" s="20">
        <f>IF(B75="","",F75-G75)</f>
        <v/>
      </c>
      <c r="I75" s="1">
        <f>IF(B75="","",IF(H75&lt;0,"Über Plan","Im Plan"))</f>
        <v/>
      </c>
      <c r="J75" s="15" t="n"/>
    </row>
    <row r="76" ht="28" customHeight="1">
      <c r="A76" s="1" t="n"/>
      <c r="B76" s="15" t="n"/>
      <c r="C76" s="15" t="n"/>
      <c r="D76" s="15" t="n"/>
      <c r="E76" s="19" t="n"/>
      <c r="F76" s="20">
        <f>IF(B76="","",IFERROR(D76*E76,0))</f>
        <v/>
      </c>
      <c r="G76" s="19" t="n"/>
      <c r="H76" s="20">
        <f>IF(B76="","",F76-G76)</f>
        <v/>
      </c>
      <c r="I76" s="1">
        <f>IF(B76="","",IF(H76&lt;0,"Über Plan","Im Plan"))</f>
        <v/>
      </c>
      <c r="J76" s="15" t="n"/>
    </row>
    <row r="77" ht="28" customHeight="1">
      <c r="A77" s="1" t="n"/>
      <c r="B77" s="15" t="n"/>
      <c r="C77" s="15" t="n"/>
      <c r="D77" s="15" t="n"/>
      <c r="E77" s="19" t="n"/>
      <c r="F77" s="20">
        <f>IF(B77="","",IFERROR(D77*E77,0))</f>
        <v/>
      </c>
      <c r="G77" s="19" t="n"/>
      <c r="H77" s="20">
        <f>IF(B77="","",F77-G77)</f>
        <v/>
      </c>
      <c r="I77" s="1">
        <f>IF(B77="","",IF(H77&lt;0,"Über Plan","Im Plan"))</f>
        <v/>
      </c>
      <c r="J77" s="15" t="n"/>
    </row>
    <row r="78" ht="28" customHeight="1">
      <c r="A78" s="1" t="n"/>
      <c r="B78" s="15" t="n"/>
      <c r="C78" s="15" t="n"/>
      <c r="D78" s="15" t="n"/>
      <c r="E78" s="19" t="n"/>
      <c r="F78" s="20">
        <f>IF(B78="","",IFERROR(D78*E78,0))</f>
        <v/>
      </c>
      <c r="G78" s="19" t="n"/>
      <c r="H78" s="20">
        <f>IF(B78="","",F78-G78)</f>
        <v/>
      </c>
      <c r="I78" s="1">
        <f>IF(B78="","",IF(H78&lt;0,"Über Plan","Im Plan"))</f>
        <v/>
      </c>
      <c r="J78" s="15" t="n"/>
    </row>
    <row r="79" ht="28" customHeight="1">
      <c r="A79" s="1" t="n"/>
      <c r="B79" s="15" t="n"/>
      <c r="C79" s="15" t="n"/>
      <c r="D79" s="15" t="n"/>
      <c r="E79" s="19" t="n"/>
      <c r="F79" s="20">
        <f>IF(B79="","",IFERROR(D79*E79,0))</f>
        <v/>
      </c>
      <c r="G79" s="19" t="n"/>
      <c r="H79" s="20">
        <f>IF(B79="","",F79-G79)</f>
        <v/>
      </c>
      <c r="I79" s="1">
        <f>IF(B79="","",IF(H79&lt;0,"Über Plan","Im Plan"))</f>
        <v/>
      </c>
      <c r="J79" s="15" t="n"/>
    </row>
    <row r="80" ht="28" customHeight="1">
      <c r="A80" s="1" t="n"/>
      <c r="B80" s="15" t="n"/>
      <c r="C80" s="15" t="n"/>
      <c r="D80" s="15" t="n"/>
      <c r="E80" s="19" t="n"/>
      <c r="F80" s="20">
        <f>IF(B80="","",IFERROR(D80*E80,0))</f>
        <v/>
      </c>
      <c r="G80" s="19" t="n"/>
      <c r="H80" s="20">
        <f>IF(B80="","",F80-G80)</f>
        <v/>
      </c>
      <c r="I80" s="1">
        <f>IF(B80="","",IF(H80&lt;0,"Über Plan","Im Plan"))</f>
        <v/>
      </c>
      <c r="J80" s="15" t="n"/>
    </row>
    <row r="81" ht="28" customHeight="1">
      <c r="A81" s="1" t="n"/>
      <c r="B81" s="15" t="n"/>
      <c r="C81" s="15" t="n"/>
      <c r="D81" s="15" t="n"/>
      <c r="E81" s="19" t="n"/>
      <c r="F81" s="20">
        <f>IF(B81="","",IFERROR(D81*E81,0))</f>
        <v/>
      </c>
      <c r="G81" s="19" t="n"/>
      <c r="H81" s="20">
        <f>IF(B81="","",F81-G81)</f>
        <v/>
      </c>
      <c r="I81" s="1">
        <f>IF(B81="","",IF(H81&lt;0,"Über Plan","Im Plan"))</f>
        <v/>
      </c>
      <c r="J81" s="15" t="n"/>
    </row>
    <row r="82" ht="28" customHeight="1">
      <c r="A82" s="1" t="n"/>
      <c r="B82" s="15" t="n"/>
      <c r="C82" s="15" t="n"/>
      <c r="D82" s="15" t="n"/>
      <c r="E82" s="19" t="n"/>
      <c r="F82" s="20">
        <f>IF(B82="","",IFERROR(D82*E82,0))</f>
        <v/>
      </c>
      <c r="G82" s="19" t="n"/>
      <c r="H82" s="20">
        <f>IF(B82="","",F82-G82)</f>
        <v/>
      </c>
      <c r="I82" s="1">
        <f>IF(B82="","",IF(H82&lt;0,"Über Plan","Im Plan"))</f>
        <v/>
      </c>
      <c r="J82" s="15" t="n"/>
    </row>
    <row r="83" ht="28" customHeight="1">
      <c r="A83" s="1" t="n"/>
      <c r="B83" s="15" t="n"/>
      <c r="C83" s="15" t="n"/>
      <c r="D83" s="15" t="n"/>
      <c r="E83" s="19" t="n"/>
      <c r="F83" s="20">
        <f>IF(B83="","",IFERROR(D83*E83,0))</f>
        <v/>
      </c>
      <c r="G83" s="19" t="n"/>
      <c r="H83" s="20">
        <f>IF(B83="","",F83-G83)</f>
        <v/>
      </c>
      <c r="I83" s="1">
        <f>IF(B83="","",IF(H83&lt;0,"Über Plan","Im Plan"))</f>
        <v/>
      </c>
      <c r="J83" s="15" t="n"/>
    </row>
    <row r="84" ht="28" customHeight="1">
      <c r="A84" s="1" t="n"/>
      <c r="B84" s="15" t="n"/>
      <c r="C84" s="15" t="n"/>
      <c r="D84" s="15" t="n"/>
      <c r="E84" s="19" t="n"/>
      <c r="F84" s="20">
        <f>IF(B84="","",IFERROR(D84*E84,0))</f>
        <v/>
      </c>
      <c r="G84" s="19" t="n"/>
      <c r="H84" s="20">
        <f>IF(B84="","",F84-G84)</f>
        <v/>
      </c>
      <c r="I84" s="1">
        <f>IF(B84="","",IF(H84&lt;0,"Über Plan","Im Plan"))</f>
        <v/>
      </c>
      <c r="J84" s="15" t="n"/>
    </row>
    <row r="85" ht="28" customHeight="1">
      <c r="A85" s="1" t="n"/>
      <c r="B85" s="15" t="n"/>
      <c r="C85" s="15" t="n"/>
      <c r="D85" s="15" t="n"/>
      <c r="E85" s="19" t="n"/>
      <c r="F85" s="20">
        <f>IF(B85="","",IFERROR(D85*E85,0))</f>
        <v/>
      </c>
      <c r="G85" s="19" t="n"/>
      <c r="H85" s="20">
        <f>IF(B85="","",F85-G85)</f>
        <v/>
      </c>
      <c r="I85" s="1">
        <f>IF(B85="","",IF(H85&lt;0,"Über Plan","Im Plan"))</f>
        <v/>
      </c>
      <c r="J85" s="15" t="n"/>
    </row>
    <row r="86" ht="28" customHeight="1">
      <c r="A86" s="1" t="n"/>
      <c r="B86" s="15" t="n"/>
      <c r="C86" s="15" t="n"/>
      <c r="D86" s="15" t="n"/>
      <c r="E86" s="19" t="n"/>
      <c r="F86" s="20">
        <f>IF(B86="","",IFERROR(D86*E86,0))</f>
        <v/>
      </c>
      <c r="G86" s="19" t="n"/>
      <c r="H86" s="20">
        <f>IF(B86="","",F86-G86)</f>
        <v/>
      </c>
      <c r="I86" s="1">
        <f>IF(B86="","",IF(H86&lt;0,"Über Plan","Im Plan"))</f>
        <v/>
      </c>
      <c r="J86" s="15" t="n"/>
    </row>
    <row r="87" ht="28" customHeight="1">
      <c r="A87" s="1" t="n"/>
      <c r="B87" s="15" t="n"/>
      <c r="C87" s="15" t="n"/>
      <c r="D87" s="15" t="n"/>
      <c r="E87" s="19" t="n"/>
      <c r="F87" s="20">
        <f>IF(B87="","",IFERROR(D87*E87,0))</f>
        <v/>
      </c>
      <c r="G87" s="19" t="n"/>
      <c r="H87" s="20">
        <f>IF(B87="","",F87-G87)</f>
        <v/>
      </c>
      <c r="I87" s="1">
        <f>IF(B87="","",IF(H87&lt;0,"Über Plan","Im Plan"))</f>
        <v/>
      </c>
      <c r="J87" s="15" t="n"/>
    </row>
    <row r="88" ht="28" customHeight="1">
      <c r="A88" s="1" t="n"/>
      <c r="B88" s="15" t="n"/>
      <c r="C88" s="15" t="n"/>
      <c r="D88" s="15" t="n"/>
      <c r="E88" s="19" t="n"/>
      <c r="F88" s="20">
        <f>IF(B88="","",IFERROR(D88*E88,0))</f>
        <v/>
      </c>
      <c r="G88" s="19" t="n"/>
      <c r="H88" s="20">
        <f>IF(B88="","",F88-G88)</f>
        <v/>
      </c>
      <c r="I88" s="1">
        <f>IF(B88="","",IF(H88&lt;0,"Über Plan","Im Plan"))</f>
        <v/>
      </c>
      <c r="J88" s="15" t="n"/>
    </row>
    <row r="89" ht="28" customHeight="1">
      <c r="A89" s="1" t="n"/>
      <c r="B89" s="15" t="n"/>
      <c r="C89" s="15" t="n"/>
      <c r="D89" s="15" t="n"/>
      <c r="E89" s="19" t="n"/>
      <c r="F89" s="20">
        <f>IF(B89="","",IFERROR(D89*E89,0))</f>
        <v/>
      </c>
      <c r="G89" s="19" t="n"/>
      <c r="H89" s="20">
        <f>IF(B89="","",F89-G89)</f>
        <v/>
      </c>
      <c r="I89" s="1">
        <f>IF(B89="","",IF(H89&lt;0,"Über Plan","Im Plan"))</f>
        <v/>
      </c>
      <c r="J89" s="15" t="n"/>
    </row>
    <row r="90" ht="28" customHeight="1">
      <c r="A90" s="1" t="n"/>
      <c r="B90" s="15" t="n"/>
      <c r="C90" s="15" t="n"/>
      <c r="D90" s="15" t="n"/>
      <c r="E90" s="19" t="n"/>
      <c r="F90" s="20">
        <f>IF(B90="","",IFERROR(D90*E90,0))</f>
        <v/>
      </c>
      <c r="G90" s="19" t="n"/>
      <c r="H90" s="20">
        <f>IF(B90="","",F90-G90)</f>
        <v/>
      </c>
      <c r="I90" s="1">
        <f>IF(B90="","",IF(H90&lt;0,"Über Plan","Im Plan"))</f>
        <v/>
      </c>
      <c r="J90" s="15" t="n"/>
    </row>
    <row r="91" ht="28" customHeight="1">
      <c r="A91" s="1" t="n"/>
      <c r="B91" s="15" t="n"/>
      <c r="C91" s="15" t="n"/>
      <c r="D91" s="15" t="n"/>
      <c r="E91" s="19" t="n"/>
      <c r="F91" s="20">
        <f>IF(B91="","",IFERROR(D91*E91,0))</f>
        <v/>
      </c>
      <c r="G91" s="19" t="n"/>
      <c r="H91" s="20">
        <f>IF(B91="","",F91-G91)</f>
        <v/>
      </c>
      <c r="I91" s="1">
        <f>IF(B91="","",IF(H91&lt;0,"Über Plan","Im Plan"))</f>
        <v/>
      </c>
      <c r="J91" s="15" t="n"/>
    </row>
    <row r="92" ht="28" customHeight="1">
      <c r="A92" s="1" t="n"/>
      <c r="B92" s="15" t="n"/>
      <c r="C92" s="15" t="n"/>
      <c r="D92" s="15" t="n"/>
      <c r="E92" s="19" t="n"/>
      <c r="F92" s="20">
        <f>IF(B92="","",IFERROR(D92*E92,0))</f>
        <v/>
      </c>
      <c r="G92" s="19" t="n"/>
      <c r="H92" s="20">
        <f>IF(B92="","",F92-G92)</f>
        <v/>
      </c>
      <c r="I92" s="1">
        <f>IF(B92="","",IF(H92&lt;0,"Über Plan","Im Plan"))</f>
        <v/>
      </c>
      <c r="J92" s="15" t="n"/>
    </row>
    <row r="93" ht="28" customHeight="1">
      <c r="A93" s="1" t="n"/>
      <c r="B93" s="15" t="n"/>
      <c r="C93" s="15" t="n"/>
      <c r="D93" s="15" t="n"/>
      <c r="E93" s="19" t="n"/>
      <c r="F93" s="20">
        <f>IF(B93="","",IFERROR(D93*E93,0))</f>
        <v/>
      </c>
      <c r="G93" s="19" t="n"/>
      <c r="H93" s="20">
        <f>IF(B93="","",F93-G93)</f>
        <v/>
      </c>
      <c r="I93" s="1">
        <f>IF(B93="","",IF(H93&lt;0,"Über Plan","Im Plan"))</f>
        <v/>
      </c>
      <c r="J93" s="15" t="n"/>
    </row>
    <row r="94" ht="28" customHeight="1">
      <c r="A94" s="1" t="n"/>
      <c r="B94" s="15" t="n"/>
      <c r="C94" s="15" t="n"/>
      <c r="D94" s="15" t="n"/>
      <c r="E94" s="19" t="n"/>
      <c r="F94" s="20">
        <f>IF(B94="","",IFERROR(D94*E94,0))</f>
        <v/>
      </c>
      <c r="G94" s="19" t="n"/>
      <c r="H94" s="20">
        <f>IF(B94="","",F94-G94)</f>
        <v/>
      </c>
      <c r="I94" s="1">
        <f>IF(B94="","",IF(H94&lt;0,"Über Plan","Im Plan"))</f>
        <v/>
      </c>
      <c r="J94" s="15" t="n"/>
    </row>
    <row r="95" ht="28" customHeight="1">
      <c r="A95" s="1" t="n"/>
      <c r="B95" s="15" t="n"/>
      <c r="C95" s="15" t="n"/>
      <c r="D95" s="15" t="n"/>
      <c r="E95" s="19" t="n"/>
      <c r="F95" s="20">
        <f>IF(B95="","",IFERROR(D95*E95,0))</f>
        <v/>
      </c>
      <c r="G95" s="19" t="n"/>
      <c r="H95" s="20">
        <f>IF(B95="","",F95-G95)</f>
        <v/>
      </c>
      <c r="I95" s="1">
        <f>IF(B95="","",IF(H95&lt;0,"Über Plan","Im Plan"))</f>
        <v/>
      </c>
      <c r="J95" s="15" t="n"/>
    </row>
    <row r="96" ht="28" customHeight="1">
      <c r="A96" s="1" t="n"/>
      <c r="B96" s="15" t="n"/>
      <c r="C96" s="15" t="n"/>
      <c r="D96" s="15" t="n"/>
      <c r="E96" s="19" t="n"/>
      <c r="F96" s="20">
        <f>IF(B96="","",IFERROR(D96*E96,0))</f>
        <v/>
      </c>
      <c r="G96" s="19" t="n"/>
      <c r="H96" s="20">
        <f>IF(B96="","",F96-G96)</f>
        <v/>
      </c>
      <c r="I96" s="1">
        <f>IF(B96="","",IF(H96&lt;0,"Über Plan","Im Plan"))</f>
        <v/>
      </c>
      <c r="J96" s="15" t="n"/>
    </row>
    <row r="97" ht="28" customHeight="1">
      <c r="A97" s="1" t="n"/>
      <c r="B97" s="15" t="n"/>
      <c r="C97" s="15" t="n"/>
      <c r="D97" s="15" t="n"/>
      <c r="E97" s="19" t="n"/>
      <c r="F97" s="20">
        <f>IF(B97="","",IFERROR(D97*E97,0))</f>
        <v/>
      </c>
      <c r="G97" s="19" t="n"/>
      <c r="H97" s="20">
        <f>IF(B97="","",F97-G97)</f>
        <v/>
      </c>
      <c r="I97" s="1">
        <f>IF(B97="","",IF(H97&lt;0,"Über Plan","Im Plan"))</f>
        <v/>
      </c>
      <c r="J97" s="15" t="n"/>
    </row>
    <row r="98" ht="28" customHeight="1">
      <c r="A98" s="1" t="n"/>
      <c r="B98" s="15" t="n"/>
      <c r="C98" s="15" t="n"/>
      <c r="D98" s="15" t="n"/>
      <c r="E98" s="19" t="n"/>
      <c r="F98" s="20">
        <f>IF(B98="","",IFERROR(D98*E98,0))</f>
        <v/>
      </c>
      <c r="G98" s="19" t="n"/>
      <c r="H98" s="20">
        <f>IF(B98="","",F98-G98)</f>
        <v/>
      </c>
      <c r="I98" s="1">
        <f>IF(B98="","",IF(H98&lt;0,"Über Plan","Im Plan"))</f>
        <v/>
      </c>
      <c r="J98" s="15" t="n"/>
    </row>
    <row r="99" ht="28" customHeight="1">
      <c r="A99" s="1" t="n"/>
      <c r="B99" s="15" t="n"/>
      <c r="C99" s="15" t="n"/>
      <c r="D99" s="15" t="n"/>
      <c r="E99" s="19" t="n"/>
      <c r="F99" s="20">
        <f>IF(B99="","",IFERROR(D99*E99,0))</f>
        <v/>
      </c>
      <c r="G99" s="19" t="n"/>
      <c r="H99" s="20">
        <f>IF(B99="","",F99-G99)</f>
        <v/>
      </c>
      <c r="I99" s="1">
        <f>IF(B99="","",IF(H99&lt;0,"Über Plan","Im Plan"))</f>
        <v/>
      </c>
      <c r="J99" s="15" t="n"/>
    </row>
    <row r="100" ht="28" customHeight="1">
      <c r="A100" s="1" t="n"/>
      <c r="B100" s="15" t="n"/>
      <c r="C100" s="15" t="n"/>
      <c r="D100" s="15" t="n"/>
      <c r="E100" s="19" t="n"/>
      <c r="F100" s="20">
        <f>IF(B100="","",IFERROR(D100*E100,0))</f>
        <v/>
      </c>
      <c r="G100" s="19" t="n"/>
      <c r="H100" s="20">
        <f>IF(B100="","",F100-G100)</f>
        <v/>
      </c>
      <c r="I100" s="1">
        <f>IF(B100="","",IF(H100&lt;0,"Über Plan","Im Plan"))</f>
        <v/>
      </c>
      <c r="J100" s="15" t="n"/>
    </row>
    <row r="101" ht="28" customHeight="1">
      <c r="A101" s="1" t="n"/>
      <c r="B101" s="15" t="n"/>
      <c r="C101" s="15" t="n"/>
      <c r="D101" s="15" t="n"/>
      <c r="E101" s="19" t="n"/>
      <c r="F101" s="20">
        <f>IF(B101="","",IFERROR(D101*E101,0))</f>
        <v/>
      </c>
      <c r="G101" s="19" t="n"/>
      <c r="H101" s="20">
        <f>IF(B101="","",F101-G101)</f>
        <v/>
      </c>
      <c r="I101" s="1">
        <f>IF(B101="","",IF(H101&lt;0,"Über Plan","Im Plan"))</f>
        <v/>
      </c>
      <c r="J101" s="15" t="n"/>
    </row>
    <row r="102" ht="28" customHeight="1">
      <c r="A102" s="1" t="n"/>
      <c r="B102" s="15" t="n"/>
      <c r="C102" s="15" t="n"/>
      <c r="D102" s="15" t="n"/>
      <c r="E102" s="19" t="n"/>
      <c r="F102" s="20">
        <f>IF(B102="","",IFERROR(D102*E102,0))</f>
        <v/>
      </c>
      <c r="G102" s="19" t="n"/>
      <c r="H102" s="20">
        <f>IF(B102="","",F102-G102)</f>
        <v/>
      </c>
      <c r="I102" s="1">
        <f>IF(B102="","",IF(H102&lt;0,"Über Plan","Im Plan"))</f>
        <v/>
      </c>
      <c r="J102" s="15" t="n"/>
    </row>
    <row r="103" ht="28" customHeight="1">
      <c r="A103" s="1" t="n"/>
      <c r="B103" s="15" t="n"/>
      <c r="C103" s="15" t="n"/>
      <c r="D103" s="15" t="n"/>
      <c r="E103" s="19" t="n"/>
      <c r="F103" s="20">
        <f>IF(B103="","",IFERROR(D103*E103,0))</f>
        <v/>
      </c>
      <c r="G103" s="19" t="n"/>
      <c r="H103" s="20">
        <f>IF(B103="","",F103-G103)</f>
        <v/>
      </c>
      <c r="I103" s="1">
        <f>IF(B103="","",IF(H103&lt;0,"Über Plan","Im Plan"))</f>
        <v/>
      </c>
      <c r="J103" s="15" t="n"/>
    </row>
    <row r="104" ht="28" customHeight="1">
      <c r="A104" s="1" t="n"/>
      <c r="B104" s="15" t="n"/>
      <c r="C104" s="15" t="n"/>
      <c r="D104" s="15" t="n"/>
      <c r="E104" s="19" t="n"/>
      <c r="F104" s="20">
        <f>IF(B104="","",IFERROR(D104*E104,0))</f>
        <v/>
      </c>
      <c r="G104" s="19" t="n"/>
      <c r="H104" s="20">
        <f>IF(B104="","",F104-G104)</f>
        <v/>
      </c>
      <c r="I104" s="1">
        <f>IF(B104="","",IF(H104&lt;0,"Über Plan","Im Plan"))</f>
        <v/>
      </c>
      <c r="J104" s="15" t="n"/>
    </row>
    <row r="105" ht="28" customHeight="1">
      <c r="A105" s="1" t="n"/>
      <c r="B105" s="15" t="n"/>
      <c r="C105" s="15" t="n"/>
      <c r="D105" s="15" t="n"/>
      <c r="E105" s="19" t="n"/>
      <c r="F105" s="20">
        <f>IF(B105="","",IFERROR(D105*E105,0))</f>
        <v/>
      </c>
      <c r="G105" s="19" t="n"/>
      <c r="H105" s="20">
        <f>IF(B105="","",F105-G105)</f>
        <v/>
      </c>
      <c r="I105" s="1">
        <f>IF(B105="","",IF(H105&lt;0,"Über Plan","Im Plan"))</f>
        <v/>
      </c>
      <c r="J105" s="15" t="n"/>
    </row>
    <row r="106" ht="28" customHeight="1">
      <c r="A106" s="1" t="n"/>
      <c r="B106" s="15" t="n"/>
      <c r="C106" s="15" t="n"/>
      <c r="D106" s="15" t="n"/>
      <c r="E106" s="19" t="n"/>
      <c r="F106" s="20">
        <f>IF(B106="","",IFERROR(D106*E106,0))</f>
        <v/>
      </c>
      <c r="G106" s="19" t="n"/>
      <c r="H106" s="20">
        <f>IF(B106="","",F106-G106)</f>
        <v/>
      </c>
      <c r="I106" s="1">
        <f>IF(B106="","",IF(H106&lt;0,"Über Plan","Im Plan"))</f>
        <v/>
      </c>
      <c r="J106" s="15" t="n"/>
    </row>
    <row r="107" ht="2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2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2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2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autoFilter ref="B6:J106"/>
  <mergeCells count="2">
    <mergeCell ref="B2:J3"/>
    <mergeCell ref="B4:J4"/>
  </mergeCells>
  <conditionalFormatting sqref="I7:I106">
    <cfRule type="expression" priority="1" dxfId="1">
      <formula>I7="Über Plan"</formula>
    </cfRule>
  </conditionalFormatting>
  <dataValidations count="2">
    <dataValidation sqref="D7:E106" showDropDown="0" showInputMessage="0" showErrorMessage="1" allowBlank="1" error="Bitte eine Zahl ab 0 eingeben." type="decimal" operator="greaterThanOrEqual">
      <formula1>0</formula1>
    </dataValidation>
    <dataValidation sqref="G7:G106" showDropDown="0" showInputMessage="0" showErrorMessage="1" allowBlank="1" error="Bitte eine Zahl ab 0 eingeben." type="decimal" operator="greaterThanOrEqual">
      <formula1>0</formula1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00BAFF"/>
    <outlinePr summaryBelow="1" summaryRight="0"/>
    <pageSetUpPr fitToPage="1"/>
  </sheetPr>
  <dimension ref="A1:J110"/>
  <sheetViews>
    <sheetView showGridLines="0" zoomScale="9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3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5" customHeight="1">
      <c r="A2" s="1" t="n"/>
      <c r="B2" s="2" t="inlineStr">
        <is>
          <t>dayova.  /  Marke</t>
        </is>
      </c>
    </row>
    <row r="3" ht="28" customHeight="1">
      <c r="A3" s="1" t="n"/>
    </row>
    <row r="4" ht="28" customHeight="1">
      <c r="A4" s="1" t="n"/>
      <c r="B4" s="3" t="inlineStr">
        <is>
          <t>VORLAGE · Fiktive Beispieldaten · Stand 06.09.2026</t>
        </is>
      </c>
    </row>
    <row r="5" ht="2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8" customHeight="1">
      <c r="A6" s="1" t="n"/>
      <c r="B6" s="13" t="inlineStr">
        <is>
          <t>Rolle</t>
        </is>
      </c>
      <c r="C6" s="13" t="inlineStr">
        <is>
          <t>HEX</t>
        </is>
      </c>
      <c r="D6" s="13" t="inlineStr">
        <is>
          <t>Verwendung</t>
        </is>
      </c>
      <c r="E6" s="1" t="n"/>
      <c r="F6" s="1" t="n"/>
      <c r="G6" s="1" t="n"/>
      <c r="H6" s="1" t="n"/>
      <c r="I6" s="1" t="n"/>
      <c r="J6" s="1" t="n"/>
    </row>
    <row r="7" ht="28" customHeight="1">
      <c r="A7" s="1" t="n"/>
      <c r="B7" s="1" t="inlineStr">
        <is>
          <t>Primär</t>
        </is>
      </c>
      <c r="C7" s="21" t="inlineStr">
        <is>
          <t>#00BAFF</t>
        </is>
      </c>
      <c r="D7" s="1" t="inlineStr">
        <is>
          <t>Akzente; dunkler Text</t>
        </is>
      </c>
      <c r="E7" s="1" t="n"/>
      <c r="F7" s="1" t="n"/>
      <c r="G7" s="1" t="n"/>
      <c r="H7" s="1" t="n"/>
      <c r="I7" s="1" t="n"/>
      <c r="J7" s="1" t="n"/>
    </row>
    <row r="8" ht="28" customHeight="1">
      <c r="A8" s="1" t="n"/>
      <c r="B8" s="1" t="inlineStr">
        <is>
          <t>Text</t>
        </is>
      </c>
      <c r="C8" s="22" t="inlineStr">
        <is>
          <t>#1A1A1A</t>
        </is>
      </c>
      <c r="D8" s="1" t="inlineStr">
        <is>
          <t>Primärtext</t>
        </is>
      </c>
      <c r="E8" s="1" t="n"/>
      <c r="F8" s="1" t="n"/>
      <c r="G8" s="1" t="n"/>
      <c r="H8" s="1" t="n"/>
      <c r="I8" s="1" t="n"/>
      <c r="J8" s="1" t="n"/>
    </row>
    <row r="9" ht="28" customHeight="1">
      <c r="A9" s="1" t="n"/>
      <c r="B9" s="1" t="inlineStr">
        <is>
          <t>Hintergrund</t>
        </is>
      </c>
      <c r="C9" s="23" t="inlineStr">
        <is>
          <t>#F6F6F4</t>
        </is>
      </c>
      <c r="D9" s="1" t="inlineStr">
        <is>
          <t>Arbeitsfläche</t>
        </is>
      </c>
      <c r="E9" s="1" t="n"/>
      <c r="F9" s="1" t="n"/>
      <c r="G9" s="1" t="n"/>
      <c r="H9" s="1" t="n"/>
      <c r="I9" s="1" t="n"/>
      <c r="J9" s="1" t="n"/>
    </row>
    <row r="10" ht="28" customHeight="1">
      <c r="A10" s="1" t="n"/>
      <c r="B10" s="1" t="inlineStr">
        <is>
          <t>Fläche</t>
        </is>
      </c>
      <c r="C10" s="24" t="inlineStr">
        <is>
          <t>#FFFFFF</t>
        </is>
      </c>
      <c r="D10" s="1" t="inlineStr">
        <is>
          <t>Karten</t>
        </is>
      </c>
      <c r="E10" s="1" t="n"/>
      <c r="F10" s="1" t="n"/>
      <c r="G10" s="1" t="n"/>
      <c r="H10" s="1" t="n"/>
      <c r="I10" s="1" t="n"/>
      <c r="J10" s="1" t="n"/>
    </row>
    <row r="11" ht="28" customHeight="1">
      <c r="A11" s="1" t="n"/>
      <c r="B11" s="1" t="inlineStr">
        <is>
          <t>Eingabe</t>
        </is>
      </c>
      <c r="C11" s="25" t="inlineStr">
        <is>
          <t>#F1F7FB</t>
        </is>
      </c>
      <c r="D11" s="1" t="inlineStr">
        <is>
          <t>Bearbeitbare Zellen</t>
        </is>
      </c>
      <c r="E11" s="1" t="n"/>
      <c r="F11" s="1" t="n"/>
      <c r="G11" s="1" t="n"/>
      <c r="H11" s="1" t="n"/>
      <c r="I11" s="1" t="n"/>
      <c r="J11" s="1" t="n"/>
    </row>
    <row r="12" ht="28" customHeight="1">
      <c r="A12" s="1" t="n"/>
      <c r="B12" s="1" t="inlineStr">
        <is>
          <t>Sekundärtext</t>
        </is>
      </c>
      <c r="C12" s="26" t="inlineStr">
        <is>
          <t>#5F6B7C</t>
        </is>
      </c>
      <c r="D12" s="1" t="inlineStr">
        <is>
          <t>Hinweise</t>
        </is>
      </c>
      <c r="E12" s="1" t="n"/>
      <c r="F12" s="1" t="n"/>
      <c r="G12" s="1" t="n"/>
      <c r="H12" s="1" t="n"/>
      <c r="I12" s="1" t="n"/>
      <c r="J12" s="1" t="n"/>
    </row>
    <row r="13" ht="28" customHeight="1">
      <c r="A13" s="1" t="n"/>
      <c r="B13" s="1" t="inlineStr">
        <is>
          <t>Theorie</t>
        </is>
      </c>
      <c r="C13" s="27" t="inlineStr">
        <is>
          <t>#5856D6</t>
        </is>
      </c>
      <c r="D13" s="1" t="inlineStr">
        <is>
          <t>Kategorie, nicht Warnstatus</t>
        </is>
      </c>
      <c r="E13" s="1" t="n"/>
      <c r="F13" s="1" t="n"/>
      <c r="G13" s="1" t="n"/>
      <c r="H13" s="1" t="n"/>
      <c r="I13" s="1" t="n"/>
      <c r="J13" s="1" t="n"/>
    </row>
    <row r="14" ht="2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8" customHeight="1">
      <c r="A16" s="1" t="n"/>
      <c r="B16" s="28" t="inlineStr">
        <is>
          <t>Poppins Regular für Fließtext, Poppins SemiBold für Überschriften. In Sheets wird Hervorhebung über Fett dargestellt. #00BAFF immer mit #1A1A1A kombinieren. Kategorien nie als einzige Statusinformation nutzen.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8" customHeight="1">
      <c r="A17" s="1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8" customHeight="1">
      <c r="A18" s="1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8" customHeight="1">
      <c r="A20" s="1" t="n"/>
      <c r="B20" s="8" t="inlineStr">
        <is>
          <t>Quellen: dayova.com (06.09.2026), App-Tokens und Design-System-Kontext im Repository. Figma ist Referenz, kein Freigabegate. Die Entscheidungsdokumentation und Nutzungshinweise liegen im Kit. Eingabeflächen sind formatiert, nicht gegen Änderungen gesperrt.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28" customHeight="1">
      <c r="A21" s="1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8" customHeight="1">
      <c r="A22" s="1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28" customHeight="1">
      <c r="A23" s="1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8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2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2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28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28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28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8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8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8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28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28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28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28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28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28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8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8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28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28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28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28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28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8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8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8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8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28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2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28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</sheetData>
  <mergeCells count="4">
    <mergeCell ref="B20:J23"/>
    <mergeCell ref="B2:J3"/>
    <mergeCell ref="B16:J18"/>
    <mergeCell ref="B4:J4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2026-09-06T08:41:34Z</dcterms:created>
  <dcterms:modified xmlns:dcterms="http://purl.org/dc/terms/" xmlns:xsi="http://www.w3.org/2001/XMLSchema-instance" xsi:type="dcterms:W3CDTF">2026-09-06T08:41:35Z</dcterms:modified>
</cp:coreProperties>
</file>